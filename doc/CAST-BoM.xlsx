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onn-my.sharepoint.com/personal/anatol_gogoj_uconn_edu/Documents/Projects/CAST Spincoater/CAST/doc/"/>
    </mc:Choice>
  </mc:AlternateContent>
  <xr:revisionPtr revIDLastSave="47" documentId="8_{B0954CE2-968D-4ED9-BE40-38A167470482}" xr6:coauthVersionLast="47" xr6:coauthVersionMax="47" xr10:uidLastSave="{D8791BB0-0DE6-4333-99B6-7574A7CE3DD7}"/>
  <bookViews>
    <workbookView xWindow="38280" yWindow="5280" windowWidth="29040" windowHeight="15840" xr2:uid="{2C9C8878-50C9-4757-AAAF-D09075F65E78}"/>
  </bookViews>
  <sheets>
    <sheet name="Shopping_Lis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7" i="1"/>
  <c r="F11" i="1"/>
  <c r="F10" i="1"/>
  <c r="F9" i="1"/>
  <c r="F8" i="1"/>
  <c r="F6" i="1"/>
  <c r="F5" i="1"/>
  <c r="F4" i="1"/>
  <c r="F3" i="1"/>
  <c r="F2" i="1"/>
  <c r="F15" i="1" l="1"/>
</calcChain>
</file>

<file path=xl/sharedStrings.xml><?xml version="1.0" encoding="utf-8"?>
<sst xmlns="http://schemas.openxmlformats.org/spreadsheetml/2006/main" count="51" uniqueCount="37">
  <si>
    <t>Designator</t>
  </si>
  <si>
    <t>Component</t>
  </si>
  <si>
    <t>Number</t>
  </si>
  <si>
    <t>Unit</t>
  </si>
  <si>
    <t>Unit Cost</t>
  </si>
  <si>
    <t>Total Cost</t>
  </si>
  <si>
    <t>Source</t>
  </si>
  <si>
    <t>Amazon</t>
  </si>
  <si>
    <t>Electronic Speed Controller &amp; DC Converter</t>
  </si>
  <si>
    <t>IR Reflective Sensor</t>
  </si>
  <si>
    <t>pkg</t>
  </si>
  <si>
    <t>Hosyond ESP32-S3 USB-C</t>
  </si>
  <si>
    <t>Hosyond Touch Screen</t>
  </si>
  <si>
    <t>OVERTURE PETG Filament</t>
  </si>
  <si>
    <t>kg</t>
  </si>
  <si>
    <t>Rubber Feet - 1/2" Round</t>
  </si>
  <si>
    <t>M3 Countersunk Bolt Set</t>
  </si>
  <si>
    <t>M3 Heat Set Inserts - D5xL4</t>
  </si>
  <si>
    <t>TOTAL</t>
  </si>
  <si>
    <t>Hardware Tools</t>
  </si>
  <si>
    <t>FFF 3D Printer (min. volume 110x160x70mm)</t>
  </si>
  <si>
    <t>Screwdrivers</t>
  </si>
  <si>
    <t>Cutting Pliers</t>
  </si>
  <si>
    <t>Soldering iron</t>
  </si>
  <si>
    <t>Allen Keys</t>
  </si>
  <si>
    <t>Windows 10 Computer with micro SD reader</t>
  </si>
  <si>
    <t>Jumper wires</t>
  </si>
  <si>
    <t>Arduino Uno or Nano</t>
  </si>
  <si>
    <t>Micro SD card</t>
  </si>
  <si>
    <t>Software tools</t>
  </si>
  <si>
    <t>Arduino IDE 1.8</t>
  </si>
  <si>
    <t>BLHeliSuite32</t>
  </si>
  <si>
    <t>Nextion Editor (Optional)</t>
  </si>
  <si>
    <t>Autodesk Fusion 360 (Optional)</t>
  </si>
  <si>
    <t>BLDC Motor - A2212 - 930KV</t>
  </si>
  <si>
    <t>5.5 x 2.1 Barrel Plug Panel Passthrough</t>
  </si>
  <si>
    <t>AC - DC Power Supply 12V 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</si>
</sst>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&quot;$&quot;* #,##0.00&quot; &quot;;&quot; &quot;&quot;$&quot;* &quot;(&quot;#,##0.00&quot;)&quot;;&quot; &quot;&quot;$&quot;* &quot;-&quot;#&quot; &quot;;&quot; &quot;@&quot; &quot;"/>
  </numFmts>
  <fonts count="16"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sz val="14"/>
      <color rgb="FF000000"/>
      <name val="Sans-serif"/>
    </font>
    <font>
      <b/>
      <sz val="11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9">
    <xf numFmtId="0" fontId="0" fillId="0" borderId="0"/>
    <xf numFmtId="164" fontId="1" fillId="0" borderId="0" applyFont="0" applyFill="0" applyBorder="0" applyAlignment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/>
    <xf numFmtId="0" fontId="11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26">
    <xf numFmtId="0" fontId="0" fillId="0" borderId="0" xfId="0"/>
    <xf numFmtId="0" fontId="0" fillId="9" borderId="2" xfId="0" applyFill="1" applyBorder="1" applyAlignment="1">
      <alignment horizontal="center"/>
    </xf>
    <xf numFmtId="164" fontId="1" fillId="9" borderId="2" xfId="1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164" fontId="1" fillId="0" borderId="5" xfId="1" applyBorder="1" applyAlignment="1"/>
    <xf numFmtId="164" fontId="1" fillId="0" borderId="5" xfId="1" applyBorder="1"/>
    <xf numFmtId="0" fontId="11" fillId="0" borderId="0" xfId="15"/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64" fontId="1" fillId="0" borderId="6" xfId="1" applyBorder="1" applyAlignment="1"/>
    <xf numFmtId="164" fontId="1" fillId="0" borderId="6" xfId="1" applyBorder="1"/>
    <xf numFmtId="0" fontId="0" fillId="0" borderId="8" xfId="0" applyBorder="1" applyAlignment="1">
      <alignment horizontal="center"/>
    </xf>
    <xf numFmtId="164" fontId="1" fillId="10" borderId="9" xfId="1" applyFill="1" applyBorder="1" applyAlignment="1">
      <alignment horizontal="center"/>
    </xf>
    <xf numFmtId="164" fontId="1" fillId="11" borderId="9" xfId="1" applyFill="1" applyBorder="1"/>
    <xf numFmtId="164" fontId="1" fillId="0" borderId="0" xfId="1"/>
    <xf numFmtId="164" fontId="14" fillId="0" borderId="0" xfId="1" applyFont="1" applyAlignment="1"/>
    <xf numFmtId="0" fontId="15" fillId="9" borderId="9" xfId="0" applyFont="1" applyFill="1" applyBorder="1"/>
    <xf numFmtId="0" fontId="0" fillId="0" borderId="9" xfId="0" applyBorder="1"/>
    <xf numFmtId="164" fontId="1" fillId="0" borderId="10" xfId="1" applyBorder="1"/>
    <xf numFmtId="0" fontId="0" fillId="0" borderId="5" xfId="0" applyFill="1" applyBorder="1"/>
    <xf numFmtId="0" fontId="0" fillId="0" borderId="10" xfId="0" applyBorder="1" applyAlignment="1">
      <alignment horizontal="center"/>
    </xf>
  </cellXfs>
  <cellStyles count="19">
    <cellStyle name="Accent" xfId="8" xr:uid="{81AD2F56-4870-43FB-80D9-DDD59FFF4B8A}"/>
    <cellStyle name="Accent 1" xfId="9" xr:uid="{7DEB29D7-C4A4-42DD-9160-7E60BFB243D4}"/>
    <cellStyle name="Accent 2" xfId="10" xr:uid="{189C6950-B728-4B05-B8B0-AEFFC9210F49}"/>
    <cellStyle name="Accent 3" xfId="11" xr:uid="{04842046-5EC1-4988-824E-D7B8301A475D}"/>
    <cellStyle name="Bad" xfId="5" builtinId="27" customBuiltin="1"/>
    <cellStyle name="Currency" xfId="1" builtinId="4" customBuiltin="1"/>
    <cellStyle name="Error" xfId="12" xr:uid="{5AA25E1E-1213-4B2C-A567-2F8641DC2AE9}"/>
    <cellStyle name="Footnote" xfId="13" xr:uid="{97D56352-2E75-4D69-BB71-CEF6A00A86D9}"/>
    <cellStyle name="Good" xfId="4" builtinId="26" customBuiltin="1"/>
    <cellStyle name="Heading" xfId="14" xr:uid="{378F83E6-F2B1-436C-838A-787FA98B8A9E}"/>
    <cellStyle name="Heading 1" xfId="2" builtinId="16" customBuiltin="1"/>
    <cellStyle name="Heading 2" xfId="3" builtinId="17" customBuiltin="1"/>
    <cellStyle name="Hyperlink" xfId="15" xr:uid="{1A90BE5D-E15C-4282-87F2-603A39642317}"/>
    <cellStyle name="Neutral" xfId="6" builtinId="28" customBuiltin="1"/>
    <cellStyle name="Normal" xfId="0" builtinId="0" customBuiltin="1"/>
    <cellStyle name="Note" xfId="7" builtinId="10" customBuiltin="1"/>
    <cellStyle name="Status" xfId="16" xr:uid="{620C3FD0-FDF5-493C-996B-261E930FCF2C}"/>
    <cellStyle name="Text" xfId="17" xr:uid="{53C7DCCB-E92D-4EDB-A4C7-9D7E8835BFB6}"/>
    <cellStyle name="Warning" xfId="18" xr:uid="{92BCD154-3302-4C3B-A126-EDBE2B926C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HanTof-Countersunk-Washers-Stainless-Threaded/dp/B0FF4TSHY5" TargetMode="External"/><Relationship Id="rId3" Type="http://schemas.openxmlformats.org/officeDocument/2006/relationships/hyperlink" Target="https://www.amazon.com/HiLetgo-Channel-Tracing-Sensor-Detection/dp/B00LZV1V10" TargetMode="External"/><Relationship Id="rId7" Type="http://schemas.openxmlformats.org/officeDocument/2006/relationships/hyperlink" Target="https://www.amazon.com/Scotch-Bumpers-Pack-Clear-SP951-NA/dp/B01N74P0QB" TargetMode="External"/><Relationship Id="rId2" Type="http://schemas.openxmlformats.org/officeDocument/2006/relationships/hyperlink" Target="https://www.amazon.com/Naroote-Brushless-Controller-Electronic-Helicopter/dp/B0C67282D5?s=industrial" TargetMode="External"/><Relationship Id="rId1" Type="http://schemas.openxmlformats.org/officeDocument/2006/relationships/hyperlink" Target="https://www.amazon.com/FEICHAO-Brushless-Aircraft-Multi-Copter-Outrunner/dp/B08DLSRCZ9" TargetMode="External"/><Relationship Id="rId6" Type="http://schemas.openxmlformats.org/officeDocument/2006/relationships/hyperlink" Target="https://www.amazon.com/OVERTURE-Filament-Consumables-Dimensional-Accuracy/dp/B07PGYHYV8" TargetMode="External"/><Relationship Id="rId11" Type="http://schemas.openxmlformats.org/officeDocument/2006/relationships/hyperlink" Target="https://www.amazon.com/SHNITPWR-100V-240V-Converter-Transformer-5-5x2-5mm/dp/B07PWZQ33N/ref=sr_1_5?s=industrial" TargetMode="External"/><Relationship Id="rId5" Type="http://schemas.openxmlformats.org/officeDocument/2006/relationships/hyperlink" Target="https://www.amazon.com/Hosyond-320x480-Capacitive-Display-Mega2560/dp/B0CRGQN58D" TargetMode="External"/><Relationship Id="rId10" Type="http://schemas.openxmlformats.org/officeDocument/2006/relationships/hyperlink" Target="https://www.amazon.com/DIYhz-5-5x2-1mm-Female-Mounting-Connector/dp/B09WDY7525/ref=sr_1_5?s=industrial" TargetMode="External"/><Relationship Id="rId4" Type="http://schemas.openxmlformats.org/officeDocument/2006/relationships/hyperlink" Target="https://www.amazon.com/Hosyond-Development-Dual-Mode-Compatible-ESP32-S3-WROOM-1/dp/B0F5QCK6X5?s=electronics" TargetMode="External"/><Relationship Id="rId9" Type="http://schemas.openxmlformats.org/officeDocument/2006/relationships/hyperlink" Target="https://www.amazon.com/Yaocom-Inserts-Threaded-Printing-Components/dp/B0DG59PW2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B11CE-D938-43CE-AA16-BE91DC024051}">
  <dimension ref="A1:H40"/>
  <sheetViews>
    <sheetView tabSelected="1" workbookViewId="0">
      <selection activeCell="F29" sqref="F29"/>
    </sheetView>
  </sheetViews>
  <sheetFormatPr defaultColWidth="9.125" defaultRowHeight="15.75" customHeight="1"/>
  <cols>
    <col min="1" max="1" width="11.25" bestFit="1" customWidth="1"/>
    <col min="2" max="2" width="40.5" customWidth="1"/>
    <col min="3" max="3" width="8.375" customWidth="1"/>
    <col min="4" max="4" width="6.875" customWidth="1"/>
    <col min="5" max="5" width="14.5" style="19" customWidth="1"/>
    <col min="6" max="6" width="11.75" style="19" customWidth="1"/>
    <col min="7" max="7" width="16.875" bestFit="1" customWidth="1"/>
    <col min="8" max="1023" width="13.375" customWidth="1"/>
    <col min="1024" max="1024" width="9.125" customWidth="1"/>
  </cols>
  <sheetData>
    <row r="1" spans="1:8" ht="14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/>
    </row>
    <row r="2" spans="1:8" ht="14.25">
      <c r="A2" s="5"/>
      <c r="B2" s="5" t="s">
        <v>34</v>
      </c>
      <c r="C2" s="6">
        <v>1</v>
      </c>
      <c r="D2" s="7"/>
      <c r="E2" s="8">
        <v>12.99</v>
      </c>
      <c r="F2" s="9">
        <f t="shared" ref="F2:F12" si="0">E2*C2</f>
        <v>12.99</v>
      </c>
      <c r="G2" s="10" t="s">
        <v>7</v>
      </c>
      <c r="H2" s="4"/>
    </row>
    <row r="3" spans="1:8" ht="14.25">
      <c r="A3" s="5"/>
      <c r="B3" s="5" t="s">
        <v>8</v>
      </c>
      <c r="C3" s="6">
        <v>1</v>
      </c>
      <c r="D3" s="7"/>
      <c r="E3" s="8">
        <v>13.38</v>
      </c>
      <c r="F3" s="9">
        <f t="shared" si="0"/>
        <v>13.38</v>
      </c>
      <c r="G3" s="10" t="s">
        <v>7</v>
      </c>
      <c r="H3" s="4"/>
    </row>
    <row r="4" spans="1:8" ht="14.25">
      <c r="A4" s="5"/>
      <c r="B4" s="5" t="s">
        <v>9</v>
      </c>
      <c r="C4" s="6">
        <v>1</v>
      </c>
      <c r="D4" s="7" t="s">
        <v>10</v>
      </c>
      <c r="E4" s="8">
        <v>8.7899999999999991</v>
      </c>
      <c r="F4" s="9">
        <f t="shared" si="0"/>
        <v>8.7899999999999991</v>
      </c>
      <c r="G4" s="10" t="s">
        <v>7</v>
      </c>
      <c r="H4" s="4"/>
    </row>
    <row r="5" spans="1:8" ht="14.25">
      <c r="A5" s="5"/>
      <c r="B5" s="5" t="s">
        <v>11</v>
      </c>
      <c r="C5" s="6">
        <v>1</v>
      </c>
      <c r="D5" s="7" t="s">
        <v>10</v>
      </c>
      <c r="E5" s="8">
        <v>18.989999999999998</v>
      </c>
      <c r="F5" s="9">
        <f t="shared" si="0"/>
        <v>18.989999999999998</v>
      </c>
      <c r="G5" s="10" t="s">
        <v>7</v>
      </c>
      <c r="H5" s="4"/>
    </row>
    <row r="6" spans="1:8" ht="14.25">
      <c r="A6" s="5"/>
      <c r="B6" s="5" t="s">
        <v>12</v>
      </c>
      <c r="C6" s="6">
        <v>1</v>
      </c>
      <c r="D6" s="7"/>
      <c r="E6" s="8">
        <v>20.99</v>
      </c>
      <c r="F6" s="9">
        <f t="shared" si="0"/>
        <v>20.99</v>
      </c>
      <c r="G6" s="10" t="s">
        <v>7</v>
      </c>
      <c r="H6" s="4"/>
    </row>
    <row r="7" spans="1:8" ht="14.25">
      <c r="A7" s="5"/>
      <c r="B7" s="24" t="s">
        <v>35</v>
      </c>
      <c r="C7" s="25">
        <v>1</v>
      </c>
      <c r="D7" s="25" t="s">
        <v>10</v>
      </c>
      <c r="E7" s="23">
        <v>6.99</v>
      </c>
      <c r="F7" s="23">
        <f t="shared" si="0"/>
        <v>6.99</v>
      </c>
      <c r="G7" s="10" t="s">
        <v>7</v>
      </c>
      <c r="H7" s="4"/>
    </row>
    <row r="8" spans="1:8" ht="14.25">
      <c r="A8" s="5"/>
      <c r="B8" s="5" t="s">
        <v>13</v>
      </c>
      <c r="C8" s="6">
        <v>1</v>
      </c>
      <c r="D8" s="7" t="s">
        <v>14</v>
      </c>
      <c r="E8" s="8">
        <v>12.29</v>
      </c>
      <c r="F8" s="9">
        <f t="shared" si="0"/>
        <v>12.29</v>
      </c>
      <c r="G8" s="10" t="s">
        <v>7</v>
      </c>
      <c r="H8" s="4"/>
    </row>
    <row r="9" spans="1:8" ht="14.25">
      <c r="A9" s="5"/>
      <c r="B9" s="5" t="s">
        <v>15</v>
      </c>
      <c r="C9" s="6">
        <v>1</v>
      </c>
      <c r="D9" s="7" t="s">
        <v>10</v>
      </c>
      <c r="E9" s="8">
        <v>4.95</v>
      </c>
      <c r="F9" s="9">
        <f t="shared" si="0"/>
        <v>4.95</v>
      </c>
      <c r="G9" s="10" t="s">
        <v>7</v>
      </c>
      <c r="H9" s="4"/>
    </row>
    <row r="10" spans="1:8" ht="14.25">
      <c r="A10" s="5"/>
      <c r="B10" s="5" t="s">
        <v>16</v>
      </c>
      <c r="C10" s="6">
        <v>1</v>
      </c>
      <c r="D10" s="7" t="s">
        <v>10</v>
      </c>
      <c r="E10" s="8">
        <v>8.89</v>
      </c>
      <c r="F10" s="9">
        <f t="shared" si="0"/>
        <v>8.89</v>
      </c>
      <c r="G10" s="10" t="s">
        <v>7</v>
      </c>
      <c r="H10" s="4"/>
    </row>
    <row r="11" spans="1:8" ht="14.25">
      <c r="A11" s="5"/>
      <c r="B11" s="5" t="s">
        <v>17</v>
      </c>
      <c r="C11" s="6">
        <v>4</v>
      </c>
      <c r="D11" s="7"/>
      <c r="E11" s="8">
        <v>9.99</v>
      </c>
      <c r="F11" s="9">
        <f t="shared" si="0"/>
        <v>39.96</v>
      </c>
      <c r="G11" s="10" t="s">
        <v>7</v>
      </c>
      <c r="H11" s="4"/>
    </row>
    <row r="12" spans="1:8" ht="14.25">
      <c r="A12" s="5"/>
      <c r="B12" s="5" t="s">
        <v>36</v>
      </c>
      <c r="C12" s="6">
        <v>1</v>
      </c>
      <c r="D12" s="7"/>
      <c r="E12" s="8">
        <v>20.99</v>
      </c>
      <c r="F12" s="9">
        <f t="shared" si="0"/>
        <v>20.99</v>
      </c>
      <c r="G12" s="10" t="s">
        <v>7</v>
      </c>
      <c r="H12" s="4"/>
    </row>
    <row r="13" spans="1:8" ht="14.25">
      <c r="A13" s="5"/>
      <c r="B13" s="5"/>
      <c r="C13" s="6"/>
      <c r="D13" s="7"/>
      <c r="E13" s="8"/>
      <c r="F13" s="9"/>
      <c r="G13" s="10"/>
      <c r="H13" s="4"/>
    </row>
    <row r="14" spans="1:8" ht="14.25">
      <c r="A14" s="11"/>
      <c r="B14" s="11"/>
      <c r="C14" s="12"/>
      <c r="D14" s="13"/>
      <c r="E14" s="14"/>
      <c r="F14" s="15"/>
      <c r="G14" s="16"/>
      <c r="H14" s="4"/>
    </row>
    <row r="15" spans="1:8" ht="14.25">
      <c r="E15" s="17" t="s">
        <v>18</v>
      </c>
      <c r="F15" s="18">
        <f>SUM(F2:F14)</f>
        <v>169.21</v>
      </c>
    </row>
    <row r="17" spans="2:5" ht="18">
      <c r="E17" s="20"/>
    </row>
    <row r="19" spans="2:5" ht="15">
      <c r="B19" s="21" t="s">
        <v>19</v>
      </c>
    </row>
    <row r="20" spans="2:5" ht="14.25">
      <c r="B20" s="22" t="s">
        <v>20</v>
      </c>
    </row>
    <row r="21" spans="2:5" ht="14.25">
      <c r="B21" s="22" t="s">
        <v>21</v>
      </c>
    </row>
    <row r="22" spans="2:5" ht="14.25">
      <c r="B22" s="22" t="s">
        <v>22</v>
      </c>
    </row>
    <row r="23" spans="2:5" ht="14.25">
      <c r="B23" s="22" t="s">
        <v>23</v>
      </c>
    </row>
    <row r="24" spans="2:5" ht="14.25">
      <c r="B24" s="22" t="s">
        <v>24</v>
      </c>
    </row>
    <row r="25" spans="2:5" ht="14.25">
      <c r="B25" s="22" t="s">
        <v>25</v>
      </c>
    </row>
    <row r="26" spans="2:5" ht="14.25">
      <c r="B26" s="22" t="s">
        <v>26</v>
      </c>
    </row>
    <row r="27" spans="2:5" ht="14.25">
      <c r="B27" s="22" t="s">
        <v>27</v>
      </c>
    </row>
    <row r="28" spans="2:5" ht="14.25">
      <c r="B28" s="22" t="s">
        <v>28</v>
      </c>
    </row>
    <row r="32" spans="2:5" ht="15">
      <c r="B32" s="21" t="s">
        <v>29</v>
      </c>
    </row>
    <row r="33" spans="2:2" ht="14.25">
      <c r="B33" s="22" t="s">
        <v>30</v>
      </c>
    </row>
    <row r="34" spans="2:2" ht="14.25">
      <c r="B34" s="22" t="s">
        <v>31</v>
      </c>
    </row>
    <row r="35" spans="2:2" ht="14.25">
      <c r="B35" s="22" t="s">
        <v>32</v>
      </c>
    </row>
    <row r="36" spans="2:2" ht="14.25">
      <c r="B36" s="22" t="s">
        <v>33</v>
      </c>
    </row>
    <row r="37" spans="2:2" ht="14.25"/>
    <row r="38" spans="2:2" ht="14.25"/>
    <row r="39" spans="2:2" ht="14.25"/>
    <row r="40" spans="2:2" ht="14.25"/>
  </sheetData>
  <hyperlinks>
    <hyperlink ref="G2" r:id="rId1" xr:uid="{0F15A467-E44C-4D13-8643-5B223BCC692D}"/>
    <hyperlink ref="G3" r:id="rId2" xr:uid="{423C1E14-DDD7-42ED-8494-CD7DD84FEBBC}"/>
    <hyperlink ref="G4" r:id="rId3" xr:uid="{61653BFC-8786-402E-9392-F53FBFE3E7CD}"/>
    <hyperlink ref="G5" r:id="rId4" xr:uid="{3A185130-B314-4ACA-8F47-EAA6BB422DEE}"/>
    <hyperlink ref="G6" r:id="rId5" xr:uid="{7E51B9F1-220F-420B-879E-57BADA11EB3B}"/>
    <hyperlink ref="G8" r:id="rId6" xr:uid="{C347481E-7FC4-488F-A0A4-3B628E650327}"/>
    <hyperlink ref="G9" r:id="rId7" xr:uid="{C158721E-76DC-4687-9E95-868D390A4380}"/>
    <hyperlink ref="G10" r:id="rId8" xr:uid="{B29BFA60-BCF5-4F10-8BD8-16A017D55731}"/>
    <hyperlink ref="G11" r:id="rId9" xr:uid="{9B4D5FB6-B9C6-4047-94E5-7B484E6C1869}"/>
    <hyperlink ref="G7" r:id="rId10" xr:uid="{1397FBB9-E7ED-42AB-AB51-CDC4124B2B63}"/>
    <hyperlink ref="G12" r:id="rId11" xr:uid="{4EDEDFE8-25B4-4EED-B496-BE571B198C3B}"/>
  </hyperlinks>
  <pageMargins left="0.74805555555555614" right="0.74805555555555614" top="1.3776388888888891" bottom="1.3776388888888891" header="0.98388888888888903" footer="0.98388888888888903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Anatol Gogoj</dc:creator>
  <cp:lastModifiedBy>Gogoj, Anatol</cp:lastModifiedBy>
  <dcterms:created xsi:type="dcterms:W3CDTF">2026-02-11T15:18:26Z</dcterms:created>
  <dcterms:modified xsi:type="dcterms:W3CDTF">2026-02-22T15:26:10Z</dcterms:modified>
</cp:coreProperties>
</file>