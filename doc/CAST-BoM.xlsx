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onn-my.sharepoint.com/personal/anatol_gogoj_uconn_edu/Documents/Projects/CAST Spincoater/CAST/doc/"/>
    </mc:Choice>
  </mc:AlternateContent>
  <xr:revisionPtr revIDLastSave="0" documentId="8_{B0954CE2-968D-4ED9-BE40-38A167470482}" xr6:coauthVersionLast="47" xr6:coauthVersionMax="47" xr10:uidLastSave="{00000000-0000-0000-0000-000000000000}"/>
  <bookViews>
    <workbookView xWindow="38280" yWindow="5280" windowWidth="29040" windowHeight="15840" xr2:uid="{2C9C8878-50C9-4757-AAAF-D09075F65E78}"/>
  </bookViews>
  <sheets>
    <sheet name="Shopping_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20" i="1"/>
  <c r="F19" i="1"/>
  <c r="E19" i="1"/>
  <c r="F18" i="1"/>
  <c r="F17" i="1"/>
  <c r="E16" i="1"/>
  <c r="F16" i="1" s="1"/>
  <c r="F23" i="1" s="1"/>
  <c r="F15" i="1"/>
  <c r="E15" i="1"/>
  <c r="F14" i="1"/>
  <c r="F13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<sst xmlns="http://schemas.openxmlformats.org/spreadsheetml/2006/main" count="96" uniqueCount="68">
  <si>
    <t>Designator</t>
  </si>
  <si>
    <t>Component</t>
  </si>
  <si>
    <t>Number</t>
  </si>
  <si>
    <t>Unit</t>
  </si>
  <si>
    <t>Unit Cost</t>
  </si>
  <si>
    <t>Total Cost</t>
  </si>
  <si>
    <t>Source</t>
  </si>
  <si>
    <t>PN_001</t>
  </si>
  <si>
    <t>BLDC Motor - A2212 - 1800KV</t>
  </si>
  <si>
    <t>Amazon</t>
  </si>
  <si>
    <t>PN_002</t>
  </si>
  <si>
    <t>Electronic Speed Controller &amp; DC Converter</t>
  </si>
  <si>
    <t>IR Reflective Sensor</t>
  </si>
  <si>
    <t>pkg</t>
  </si>
  <si>
    <t>PN_004</t>
  </si>
  <si>
    <t>Hosyond ESP32-S3 USB-C</t>
  </si>
  <si>
    <t>PN_005</t>
  </si>
  <si>
    <t>Hosyond Touch Screen</t>
  </si>
  <si>
    <t>PN_006</t>
  </si>
  <si>
    <t>XT60 Panel Passthrough</t>
  </si>
  <si>
    <t>PN_007</t>
  </si>
  <si>
    <t>OVERTURE PETG Filament</t>
  </si>
  <si>
    <t>kg</t>
  </si>
  <si>
    <t>PN_008</t>
  </si>
  <si>
    <t>Rubber Feet - 1/2" Round</t>
  </si>
  <si>
    <t>PN_009</t>
  </si>
  <si>
    <t>M3 Countersunk Bolt Set</t>
  </si>
  <si>
    <t>PN_010</t>
  </si>
  <si>
    <t>M3 Heat Set Inserts - D5xL4</t>
  </si>
  <si>
    <t>PN_011</t>
  </si>
  <si>
    <t>M3x12 bolts (screen)</t>
  </si>
  <si>
    <t>Aliexpress</t>
  </si>
  <si>
    <t>PN_012</t>
  </si>
  <si>
    <t>100x100mm 3mm Transparent Plexiglass</t>
  </si>
  <si>
    <t>PN_013</t>
  </si>
  <si>
    <t>Soldering Tin Lead Free</t>
  </si>
  <si>
    <t>g</t>
  </si>
  <si>
    <t>PN_014</t>
  </si>
  <si>
    <t>22AWG Cable (Black-Red)</t>
  </si>
  <si>
    <t>m</t>
  </si>
  <si>
    <t>PN_015</t>
  </si>
  <si>
    <t>12V 5A - AC-DC Power adapter</t>
  </si>
  <si>
    <t>PN_016</t>
  </si>
  <si>
    <t>Hook and Loop Fastener Tape 20mm</t>
  </si>
  <si>
    <t>PN_017</t>
  </si>
  <si>
    <t>M3 X D4.2 X L5.0 Brass Hot Melt Insert Nuts</t>
  </si>
  <si>
    <t>PN_018</t>
  </si>
  <si>
    <t>M4x20 bolts - Countersunk Head</t>
  </si>
  <si>
    <t>PN_019</t>
  </si>
  <si>
    <t>M3x8 bolts - Countersunk Head</t>
  </si>
  <si>
    <t>TOTAL</t>
  </si>
  <si>
    <t>Alternatives</t>
  </si>
  <si>
    <t>Source of materials</t>
  </si>
  <si>
    <t>Hardware Tools</t>
  </si>
  <si>
    <t>FFF 3D Printer (min. volume 110x160x70mm)</t>
  </si>
  <si>
    <t>Screwdrivers</t>
  </si>
  <si>
    <t>Cutting Pliers</t>
  </si>
  <si>
    <t>Soldering iron</t>
  </si>
  <si>
    <t>Allen Keys</t>
  </si>
  <si>
    <t>Windows 10 Computer with micro SD reader</t>
  </si>
  <si>
    <t>Jumper wires</t>
  </si>
  <si>
    <t>Arduino Uno or Nano</t>
  </si>
  <si>
    <t>Micro SD card</t>
  </si>
  <si>
    <t>Software tools</t>
  </si>
  <si>
    <t>Arduino IDE 1.8</t>
  </si>
  <si>
    <t>BLHeliSuite32</t>
  </si>
  <si>
    <t>Nextion Editor (Optional)</t>
  </si>
  <si>
    <t>Autodesk Fusion 360 (Optional)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</si>
</sst>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 &quot;&quot;$&quot;* #,##0.00&quot; &quot;;&quot; &quot;&quot;$&quot;* &quot;(&quot;#,##0.00&quot;)&quot;;&quot; &quot;&quot;$&quot;* &quot;-&quot;#&quot; &quot;;&quot; &quot;@&quot; &quot;"/>
  </numFmts>
  <fonts count="18">
    <font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FFFFFF"/>
      <name val="Arial"/>
      <family val="2"/>
    </font>
    <font>
      <sz val="10"/>
      <color rgb="FFCC0000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sz val="10"/>
      <color rgb="FF006600"/>
      <name val="Arial"/>
      <family val="2"/>
    </font>
    <font>
      <b/>
      <sz val="24"/>
      <color rgb="FF000000"/>
      <name val="Arial"/>
      <family val="2"/>
    </font>
    <font>
      <sz val="18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EE"/>
      <name val="Arial"/>
      <family val="2"/>
    </font>
    <font>
      <sz val="10"/>
      <color rgb="FF996600"/>
      <name val="Arial"/>
      <family val="2"/>
    </font>
    <font>
      <sz val="10"/>
      <color rgb="FF333333"/>
      <name val="Arial"/>
      <family val="2"/>
    </font>
    <font>
      <u/>
      <sz val="11"/>
      <color rgb="FF1155CC"/>
      <name val="Cambria"/>
      <family val="1"/>
    </font>
    <font>
      <u/>
      <sz val="11"/>
      <color rgb="FF1155CC"/>
      <name val="&quot;Arial&quot;"/>
    </font>
    <font>
      <sz val="14"/>
      <color rgb="FF000000"/>
      <name val="Sans-serif"/>
    </font>
    <font>
      <b/>
      <sz val="11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9">
    <xf numFmtId="0" fontId="0" fillId="0" borderId="0"/>
    <xf numFmtId="164" fontId="1" fillId="0" borderId="0" applyFont="0" applyFill="0" applyBorder="0" applyAlignment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7" fillId="7" borderId="0" applyNumberFormat="0" applyBorder="0" applyProtection="0"/>
    <xf numFmtId="0" fontId="4" fillId="5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8" fillId="0" borderId="0" applyNumberFormat="0" applyBorder="0" applyProtection="0"/>
    <xf numFmtId="0" fontId="11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34">
    <xf numFmtId="0" fontId="0" fillId="0" borderId="0" xfId="0"/>
    <xf numFmtId="0" fontId="0" fillId="9" borderId="2" xfId="0" applyFill="1" applyBorder="1" applyAlignment="1">
      <alignment horizontal="center"/>
    </xf>
    <xf numFmtId="164" fontId="1" fillId="9" borderId="2" xfId="1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0" borderId="4" xfId="0" applyBorder="1"/>
    <xf numFmtId="0" fontId="0" fillId="0" borderId="5" xfId="0" applyBorder="1" applyAlignme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4" fontId="1" fillId="0" borderId="5" xfId="1" applyBorder="1" applyAlignment="1"/>
    <xf numFmtId="164" fontId="1" fillId="0" borderId="5" xfId="1" applyBorder="1"/>
    <xf numFmtId="0" fontId="11" fillId="0" borderId="0" xfId="15" applyFont="1" applyFill="1" applyAlignment="1"/>
    <xf numFmtId="0" fontId="14" fillId="0" borderId="4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0" fillId="0" borderId="6" xfId="0" applyBorder="1"/>
    <xf numFmtId="0" fontId="0" fillId="0" borderId="6" xfId="0" applyBorder="1" applyAlignment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1" fillId="0" borderId="6" xfId="1" applyBorder="1" applyAlignment="1"/>
    <xf numFmtId="164" fontId="1" fillId="0" borderId="6" xfId="1" applyBorder="1"/>
    <xf numFmtId="0" fontId="0" fillId="0" borderId="8" xfId="0" applyBorder="1" applyAlignment="1">
      <alignment horizontal="center"/>
    </xf>
    <xf numFmtId="164" fontId="1" fillId="10" borderId="9" xfId="1" applyFill="1" applyBorder="1" applyAlignment="1">
      <alignment horizontal="center"/>
    </xf>
    <xf numFmtId="164" fontId="1" fillId="11" borderId="9" xfId="1" applyFill="1" applyBorder="1"/>
    <xf numFmtId="164" fontId="1" fillId="0" borderId="0" xfId="1"/>
    <xf numFmtId="164" fontId="16" fillId="0" borderId="0" xfId="1" applyFont="1" applyAlignment="1"/>
    <xf numFmtId="0" fontId="0" fillId="12" borderId="9" xfId="0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0" fillId="0" borderId="5" xfId="0" applyBorder="1"/>
    <xf numFmtId="0" fontId="0" fillId="0" borderId="10" xfId="0" applyBorder="1"/>
    <xf numFmtId="164" fontId="1" fillId="0" borderId="10" xfId="1" applyBorder="1"/>
    <xf numFmtId="0" fontId="0" fillId="0" borderId="11" xfId="0" applyBorder="1"/>
    <xf numFmtId="164" fontId="1" fillId="0" borderId="11" xfId="1" applyBorder="1"/>
    <xf numFmtId="0" fontId="17" fillId="9" borderId="9" xfId="0" applyFont="1" applyFill="1" applyBorder="1" applyAlignment="1"/>
    <xf numFmtId="0" fontId="0" fillId="0" borderId="9" xfId="0" applyBorder="1" applyAlignment="1"/>
    <xf numFmtId="0" fontId="0" fillId="0" borderId="0" xfId="0" applyAlignment="1"/>
  </cellXfs>
  <cellStyles count="19">
    <cellStyle name="Accent" xfId="8" xr:uid="{81AD2F56-4870-43FB-80D9-DDD59FFF4B8A}"/>
    <cellStyle name="Accent 1" xfId="9" xr:uid="{7DEB29D7-C4A4-42DD-9160-7E60BFB243D4}"/>
    <cellStyle name="Accent 2" xfId="10" xr:uid="{189C6950-B728-4B05-B8B0-AEFFC9210F49}"/>
    <cellStyle name="Accent 3" xfId="11" xr:uid="{04842046-5EC1-4988-824E-D7B8301A475D}"/>
    <cellStyle name="Bad" xfId="5" builtinId="27" customBuiltin="1"/>
    <cellStyle name="Currency" xfId="1" builtinId="4" customBuiltin="1"/>
    <cellStyle name="Error" xfId="12" xr:uid="{5AA25E1E-1213-4B2C-A567-2F8641DC2AE9}"/>
    <cellStyle name="Footnote" xfId="13" xr:uid="{97D56352-2E75-4D69-BB71-CEF6A00A86D9}"/>
    <cellStyle name="Good" xfId="4" builtinId="26" customBuiltin="1"/>
    <cellStyle name="Heading" xfId="14" xr:uid="{378F83E6-F2B1-436C-838A-787FA98B8A9E}"/>
    <cellStyle name="Heading 1" xfId="2" builtinId="16" customBuiltin="1"/>
    <cellStyle name="Heading 2" xfId="3" builtinId="17" customBuiltin="1"/>
    <cellStyle name="Hyperlink" xfId="15" xr:uid="{1A90BE5D-E15C-4282-87F2-603A39642317}"/>
    <cellStyle name="Neutral" xfId="6" builtinId="28" customBuiltin="1"/>
    <cellStyle name="Normal" xfId="0" builtinId="0" customBuiltin="1"/>
    <cellStyle name="Note" xfId="7" builtinId="10" customBuiltin="1"/>
    <cellStyle name="Status" xfId="16" xr:uid="{620C3FD0-FDF5-493C-996B-261E930FCF2C}"/>
    <cellStyle name="Text" xfId="17" xr:uid="{53C7DCCB-E92D-4EDB-A4C7-9D7E8835BFB6}"/>
    <cellStyle name="Warning" xfId="18" xr:uid="{92BCD154-3302-4C3B-A126-EDBE2B926C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Scotch-Bumpers-Pack-Clear-SP951-NA/dp/B01N74P0QB" TargetMode="External"/><Relationship Id="rId13" Type="http://schemas.openxmlformats.org/officeDocument/2006/relationships/hyperlink" Target="https://www.aliexpress.com/item/32824531083.html?spm=a2g0o.productlist.0.0.751e7d8bOIh5El&amp;algo_pvid=8d0c3cf1-e3ac-4989-8753-d7ab9b54d38b&amp;algo_exp_id=8d0c3cf1-e3ac-4989-8753-d7ab9b54d38b-0Tin%20Lead%20Free" TargetMode="External"/><Relationship Id="rId18" Type="http://schemas.openxmlformats.org/officeDocument/2006/relationships/hyperlink" Target="https://es.aliexpress.com/item/4000020967604.html?spm=a2g0o.productlist.0.0.5cad316bRdShKZ&amp;algo_pvid=233d6d1a-94f6-4119-85c9-7f06201845c8&amp;algo_exp_id=233d6d1a-94f6-4119-85c9-7f06201845c8-17&amp;pdp_ext_f=%7b%22sku_id%22%3A%2210000000048642021%22%7d" TargetMode="External"/><Relationship Id="rId3" Type="http://schemas.openxmlformats.org/officeDocument/2006/relationships/hyperlink" Target="https://www.amazon.com/HiLetgo-Channel-Tracing-Sensor-Detection/dp/B00LZV1V10" TargetMode="External"/><Relationship Id="rId7" Type="http://schemas.openxmlformats.org/officeDocument/2006/relationships/hyperlink" Target="https://www.amazon.com/OVERTURE-Filament-Consumables-Dimensional-Accuracy/dp/B07PGYHYV8" TargetMode="External"/><Relationship Id="rId12" Type="http://schemas.openxmlformats.org/officeDocument/2006/relationships/hyperlink" Target="https://www.aliexpress.com/item/4000388406779.html?spm=a2g0o.productlist.0.0.4ab17f87jjP5FK&amp;algo_pvid=eed31011-3b22-4b16-a9dd-5d11e47b7c09&amp;algo_exp_id=eed31011-3b22-4b16-a9dd-5d11e47b7c09-9&amp;pdp_ext_f=%7b%22sku_id%22%3A%2210000001589534745%22%7d" TargetMode="External"/><Relationship Id="rId17" Type="http://schemas.openxmlformats.org/officeDocument/2006/relationships/hyperlink" Target="https://www.aliexpress.com/item/4000909684199.html?spm=a2g0o.search0304.0.0.5cd235211SxcIP&amp;algo_pvid=b018ad0a-a022-4255-a459-c6a5a9d257da&amp;algo_exp_id=b018ad0a-a022-4255-a459-c6a5a9d257da-20" TargetMode="External"/><Relationship Id="rId2" Type="http://schemas.openxmlformats.org/officeDocument/2006/relationships/hyperlink" Target="https://www.amazon.com/Naroote-Brushless-Controller-Electronic-Helicopter/dp/B0C67282D5?s=industrial" TargetMode="External"/><Relationship Id="rId16" Type="http://schemas.openxmlformats.org/officeDocument/2006/relationships/hyperlink" Target="https://es.aliexpress.com/item/33036100627.html?spm=a2g0o.productlist.0.0.4668389bvkvRHP&amp;algo_pvid=00591508-aeca-4ad9-a785-ed9b932f2c04&amp;algo_exp_id=00591508-aeca-4ad9-a785-ed9b932f2c04-10" TargetMode="External"/><Relationship Id="rId20" Type="http://schemas.openxmlformats.org/officeDocument/2006/relationships/hyperlink" Target="https://es.aliexpress.com/item/4001176494750.html?spm=a2g0o.productlist.0.0.6f862264rdV05N&amp;algo_pvid=d8c0f43c-9b06-47f9-b4e9-6bb7d718922d&amp;algo_exp_id=d8c0f43c-9b06-47f9-b4e9-6bb7d718922d-46" TargetMode="External"/><Relationship Id="rId1" Type="http://schemas.openxmlformats.org/officeDocument/2006/relationships/hyperlink" Target="https://www.amazon.com/FEICHAO-Brushless-Aircraft-Multi-Copter-Outrunner/dp/B08DLR79HF" TargetMode="External"/><Relationship Id="rId6" Type="http://schemas.openxmlformats.org/officeDocument/2006/relationships/hyperlink" Target="https://www.amazon.com/CERRXIAN-12AWG-Female-Mount-Battery/dp/B0BX81BHKJ?s=electronics" TargetMode="External"/><Relationship Id="rId11" Type="http://schemas.openxmlformats.org/officeDocument/2006/relationships/hyperlink" Target="https://www.aliexpress.com/item/33022099174.html?spm=a2g0o.productlist.0.0.1eca6ce2qoCGsI&amp;algo_pvid=945e4e24-94b9-4096-b0f0-c9f110975f12&amp;algo_exp_id=945e4e24-94b9-4096-b0f0-c9f110975f12-2" TargetMode="External"/><Relationship Id="rId5" Type="http://schemas.openxmlformats.org/officeDocument/2006/relationships/hyperlink" Target="https://www.amazon.com/Hosyond-320x480-Capacitive-Display-Mega2560/dp/B0CRGQN58D" TargetMode="External"/><Relationship Id="rId15" Type="http://schemas.openxmlformats.org/officeDocument/2006/relationships/hyperlink" Target="https://es.aliexpress.com/item/32859196804.html?spm=a2g0o.productlist.0.0.9d7434cbInsGrT&amp;algo_pvid=cff5ab5c-b400-40e6-9193-db499a886101&amp;algo_exp_id=cff5ab5c-b400-40e6-9193-db499a886101-0" TargetMode="External"/><Relationship Id="rId10" Type="http://schemas.openxmlformats.org/officeDocument/2006/relationships/hyperlink" Target="https://www.amazon.com/Yaocom-Inserts-Threaded-Printing-Components/dp/B0DG59PW2R" TargetMode="External"/><Relationship Id="rId19" Type="http://schemas.openxmlformats.org/officeDocument/2006/relationships/hyperlink" Target="https://es.aliexpress.com/item/4000020967604.html?spm=a2g0o.productlist.0.0.5cad316bRdShKZ&amp;algo_pvid=233d6d1a-94f6-4119-85c9-7f06201845c8&amp;algo_exp_id=233d6d1a-94f6-4119-85c9-7f06201845c8-17&amp;pdp_ext_f=%7b%22sku_id%22%3A%2210000000048642021%22%7d" TargetMode="External"/><Relationship Id="rId4" Type="http://schemas.openxmlformats.org/officeDocument/2006/relationships/hyperlink" Target="https://www.amazon.com/Hosyond-Development-Dual-Mode-Compatible-ESP32-S3-WROOM-1/dp/B0F5QCK6X5?s=electronics" TargetMode="External"/><Relationship Id="rId9" Type="http://schemas.openxmlformats.org/officeDocument/2006/relationships/hyperlink" Target="https://www.amazon.com/HanTof-Countersunk-Washers-Stainless-Threaded/dp/B0FF4TSHY5" TargetMode="External"/><Relationship Id="rId14" Type="http://schemas.openxmlformats.org/officeDocument/2006/relationships/hyperlink" Target="https://www.aliexpress.com/item/4000689875049.html?spm=a2g0o.productlist.0.0.67683397D4Trow&amp;algo_pvid=03021eba-2e28-42c8-ae62-9d7366e6fcde&amp;algo_exp_id=03021eba-2e28-42c8-ae62-9d7366e6fcde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B11CE-D938-43CE-AA16-BE91DC024051}">
  <dimension ref="A1:H55"/>
  <sheetViews>
    <sheetView tabSelected="1" workbookViewId="0">
      <selection activeCell="H22" sqref="H22"/>
    </sheetView>
  </sheetViews>
  <sheetFormatPr defaultColWidth="9.125" defaultRowHeight="15.75" customHeight="1"/>
  <cols>
    <col min="1" max="1" width="11.25" bestFit="1" customWidth="1"/>
    <col min="2" max="2" width="38.625" bestFit="1" customWidth="1"/>
    <col min="3" max="3" width="7.375" bestFit="1" customWidth="1"/>
    <col min="4" max="4" width="5.625" customWidth="1"/>
    <col min="5" max="5" width="13.125" style="22" customWidth="1"/>
    <col min="6" max="6" width="12.625" style="22" customWidth="1"/>
    <col min="7" max="7" width="12.25" customWidth="1"/>
    <col min="8" max="1023" width="13.375" customWidth="1"/>
    <col min="1024" max="1024" width="9.125" customWidth="1"/>
  </cols>
  <sheetData>
    <row r="1" spans="1:8" ht="14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/>
    </row>
    <row r="2" spans="1:8" ht="14.25">
      <c r="A2" s="5" t="s">
        <v>7</v>
      </c>
      <c r="B2" s="5" t="s">
        <v>8</v>
      </c>
      <c r="C2" s="6">
        <v>1</v>
      </c>
      <c r="D2" s="7"/>
      <c r="E2" s="8">
        <v>12.99</v>
      </c>
      <c r="F2" s="9">
        <f t="shared" ref="F2:F11" si="0">E2*C2</f>
        <v>12.99</v>
      </c>
      <c r="G2" s="10" t="s">
        <v>9</v>
      </c>
      <c r="H2" s="4"/>
    </row>
    <row r="3" spans="1:8" ht="14.25">
      <c r="A3" s="5" t="s">
        <v>10</v>
      </c>
      <c r="B3" s="5" t="s">
        <v>11</v>
      </c>
      <c r="C3" s="6">
        <v>1</v>
      </c>
      <c r="D3" s="7"/>
      <c r="E3" s="8">
        <v>13.38</v>
      </c>
      <c r="F3" s="9">
        <f t="shared" si="0"/>
        <v>13.38</v>
      </c>
      <c r="G3" s="10" t="s">
        <v>9</v>
      </c>
      <c r="H3" s="4"/>
    </row>
    <row r="4" spans="1:8" ht="14.25">
      <c r="A4" s="5"/>
      <c r="B4" s="5" t="s">
        <v>12</v>
      </c>
      <c r="C4" s="6">
        <v>1</v>
      </c>
      <c r="D4" s="7" t="s">
        <v>13</v>
      </c>
      <c r="E4" s="8">
        <v>8.7899999999999991</v>
      </c>
      <c r="F4" s="9">
        <f t="shared" si="0"/>
        <v>8.7899999999999991</v>
      </c>
      <c r="G4" s="10" t="s">
        <v>9</v>
      </c>
      <c r="H4" s="4"/>
    </row>
    <row r="5" spans="1:8" ht="14.25">
      <c r="A5" s="5" t="s">
        <v>14</v>
      </c>
      <c r="B5" s="5" t="s">
        <v>15</v>
      </c>
      <c r="C5" s="6">
        <v>1</v>
      </c>
      <c r="D5" s="7" t="s">
        <v>13</v>
      </c>
      <c r="E5" s="8">
        <v>18.989999999999998</v>
      </c>
      <c r="F5" s="9">
        <f t="shared" si="0"/>
        <v>18.989999999999998</v>
      </c>
      <c r="G5" s="10" t="s">
        <v>9</v>
      </c>
      <c r="H5" s="4"/>
    </row>
    <row r="6" spans="1:8" ht="14.25">
      <c r="A6" s="5" t="s">
        <v>16</v>
      </c>
      <c r="B6" s="5" t="s">
        <v>17</v>
      </c>
      <c r="C6" s="6">
        <v>1</v>
      </c>
      <c r="D6" s="7"/>
      <c r="E6" s="8">
        <v>20.99</v>
      </c>
      <c r="F6" s="9">
        <f t="shared" si="0"/>
        <v>20.99</v>
      </c>
      <c r="G6" s="10" t="s">
        <v>9</v>
      </c>
      <c r="H6" s="4"/>
    </row>
    <row r="7" spans="1:8" ht="14.25">
      <c r="A7" s="5" t="s">
        <v>18</v>
      </c>
      <c r="B7" s="5" t="s">
        <v>19</v>
      </c>
      <c r="C7" s="6">
        <v>1</v>
      </c>
      <c r="D7" s="7"/>
      <c r="E7" s="8">
        <v>9.69</v>
      </c>
      <c r="F7" s="9">
        <f t="shared" si="0"/>
        <v>9.69</v>
      </c>
      <c r="G7" s="10" t="s">
        <v>9</v>
      </c>
      <c r="H7" s="4"/>
    </row>
    <row r="8" spans="1:8" ht="14.25">
      <c r="A8" s="5" t="s">
        <v>20</v>
      </c>
      <c r="B8" s="5" t="s">
        <v>21</v>
      </c>
      <c r="C8" s="6">
        <v>1</v>
      </c>
      <c r="D8" s="7" t="s">
        <v>22</v>
      </c>
      <c r="E8" s="8">
        <v>12.29</v>
      </c>
      <c r="F8" s="9">
        <f t="shared" si="0"/>
        <v>12.29</v>
      </c>
      <c r="G8" s="10" t="s">
        <v>9</v>
      </c>
      <c r="H8" s="4"/>
    </row>
    <row r="9" spans="1:8" ht="14.25">
      <c r="A9" s="5" t="s">
        <v>23</v>
      </c>
      <c r="B9" s="5" t="s">
        <v>24</v>
      </c>
      <c r="C9" s="6">
        <v>1</v>
      </c>
      <c r="D9" s="7" t="s">
        <v>13</v>
      </c>
      <c r="E9" s="8">
        <v>4.95</v>
      </c>
      <c r="F9" s="9">
        <f t="shared" si="0"/>
        <v>4.95</v>
      </c>
      <c r="G9" s="10" t="s">
        <v>9</v>
      </c>
      <c r="H9" s="4"/>
    </row>
    <row r="10" spans="1:8" ht="14.25">
      <c r="A10" s="5" t="s">
        <v>25</v>
      </c>
      <c r="B10" s="5" t="s">
        <v>26</v>
      </c>
      <c r="C10" s="6">
        <v>1</v>
      </c>
      <c r="D10" s="7" t="s">
        <v>13</v>
      </c>
      <c r="E10" s="8">
        <v>8.89</v>
      </c>
      <c r="F10" s="9">
        <f t="shared" si="0"/>
        <v>8.89</v>
      </c>
      <c r="G10" s="10" t="s">
        <v>9</v>
      </c>
      <c r="H10" s="4"/>
    </row>
    <row r="11" spans="1:8" ht="14.25">
      <c r="A11" s="5" t="s">
        <v>27</v>
      </c>
      <c r="B11" s="5" t="s">
        <v>28</v>
      </c>
      <c r="C11" s="6">
        <v>4</v>
      </c>
      <c r="D11" s="7"/>
      <c r="E11" s="8">
        <v>0.2</v>
      </c>
      <c r="F11" s="9">
        <f t="shared" si="0"/>
        <v>0.8</v>
      </c>
      <c r="G11" s="10" t="s">
        <v>9</v>
      </c>
      <c r="H11" s="4"/>
    </row>
    <row r="12" spans="1:8" ht="14.25">
      <c r="A12" s="5"/>
      <c r="B12" s="5"/>
      <c r="C12" s="6"/>
      <c r="D12" s="7"/>
      <c r="E12" s="8"/>
      <c r="F12" s="9"/>
      <c r="G12" s="10"/>
      <c r="H12" s="4"/>
    </row>
    <row r="13" spans="1:8" ht="14.25">
      <c r="A13" s="5" t="s">
        <v>29</v>
      </c>
      <c r="B13" s="5" t="s">
        <v>30</v>
      </c>
      <c r="C13" s="6">
        <v>4</v>
      </c>
      <c r="D13" s="7"/>
      <c r="E13" s="8">
        <v>0.2</v>
      </c>
      <c r="F13" s="9">
        <f t="shared" ref="F13:F21" si="1">E13*C13</f>
        <v>0.8</v>
      </c>
      <c r="G13" s="11" t="s">
        <v>31</v>
      </c>
      <c r="H13" s="4"/>
    </row>
    <row r="14" spans="1:8" ht="14.25">
      <c r="A14" s="5" t="s">
        <v>32</v>
      </c>
      <c r="B14" s="5" t="s">
        <v>33</v>
      </c>
      <c r="C14" s="6">
        <v>1</v>
      </c>
      <c r="D14" s="7"/>
      <c r="E14" s="8">
        <v>4.2300000000000004</v>
      </c>
      <c r="F14" s="9">
        <f t="shared" si="1"/>
        <v>4.2300000000000004</v>
      </c>
      <c r="G14" s="12" t="s">
        <v>31</v>
      </c>
      <c r="H14" s="4"/>
    </row>
    <row r="15" spans="1:8" ht="14.25">
      <c r="A15" s="5" t="s">
        <v>34</v>
      </c>
      <c r="B15" s="5" t="s">
        <v>35</v>
      </c>
      <c r="C15" s="6">
        <v>5</v>
      </c>
      <c r="D15" s="7" t="s">
        <v>36</v>
      </c>
      <c r="E15" s="8">
        <f>7.49/90</f>
        <v>8.3222222222222225E-2</v>
      </c>
      <c r="F15" s="9">
        <f t="shared" si="1"/>
        <v>0.4161111111111111</v>
      </c>
      <c r="G15" s="11" t="s">
        <v>31</v>
      </c>
      <c r="H15" s="4"/>
    </row>
    <row r="16" spans="1:8" ht="14.25">
      <c r="A16" s="5" t="s">
        <v>37</v>
      </c>
      <c r="B16" s="5" t="s">
        <v>38</v>
      </c>
      <c r="C16" s="6">
        <v>0.4</v>
      </c>
      <c r="D16" s="7" t="s">
        <v>39</v>
      </c>
      <c r="E16" s="8">
        <f>1.63/5</f>
        <v>0.32599999999999996</v>
      </c>
      <c r="F16" s="9">
        <f t="shared" si="1"/>
        <v>0.13039999999999999</v>
      </c>
      <c r="G16" s="11" t="s">
        <v>31</v>
      </c>
      <c r="H16" s="4"/>
    </row>
    <row r="17" spans="1:8" ht="14.25">
      <c r="A17" s="5" t="s">
        <v>40</v>
      </c>
      <c r="B17" s="5" t="s">
        <v>41</v>
      </c>
      <c r="C17" s="6">
        <v>1</v>
      </c>
      <c r="D17" s="7"/>
      <c r="E17" s="8">
        <v>10</v>
      </c>
      <c r="F17" s="9">
        <f t="shared" si="1"/>
        <v>10</v>
      </c>
      <c r="G17" s="11" t="s">
        <v>31</v>
      </c>
      <c r="H17" s="4"/>
    </row>
    <row r="18" spans="1:8" ht="14.25">
      <c r="A18" s="5" t="s">
        <v>42</v>
      </c>
      <c r="B18" s="5" t="s">
        <v>43</v>
      </c>
      <c r="C18" s="6">
        <v>0.1</v>
      </c>
      <c r="D18" s="7" t="s">
        <v>39</v>
      </c>
      <c r="E18" s="8">
        <v>3.17</v>
      </c>
      <c r="F18" s="9">
        <f t="shared" si="1"/>
        <v>0.317</v>
      </c>
      <c r="G18" s="11" t="s">
        <v>31</v>
      </c>
      <c r="H18" s="4"/>
    </row>
    <row r="19" spans="1:8" ht="14.25">
      <c r="A19" s="5" t="s">
        <v>44</v>
      </c>
      <c r="B19" s="5" t="s">
        <v>45</v>
      </c>
      <c r="C19" s="6">
        <v>6</v>
      </c>
      <c r="D19" s="7"/>
      <c r="E19" s="8">
        <f>4.15/50</f>
        <v>8.3000000000000004E-2</v>
      </c>
      <c r="F19" s="9">
        <f t="shared" si="1"/>
        <v>0.498</v>
      </c>
      <c r="G19" s="11" t="s">
        <v>31</v>
      </c>
      <c r="H19" s="4"/>
    </row>
    <row r="20" spans="1:8" ht="14.25">
      <c r="A20" s="5" t="s">
        <v>46</v>
      </c>
      <c r="B20" s="5" t="s">
        <v>47</v>
      </c>
      <c r="C20" s="6">
        <v>2</v>
      </c>
      <c r="D20" s="7"/>
      <c r="E20" s="8">
        <v>0.12</v>
      </c>
      <c r="F20" s="9">
        <f t="shared" si="1"/>
        <v>0.24</v>
      </c>
      <c r="G20" s="11" t="s">
        <v>31</v>
      </c>
      <c r="H20" s="4"/>
    </row>
    <row r="21" spans="1:8" ht="14.25">
      <c r="A21" s="5" t="s">
        <v>48</v>
      </c>
      <c r="B21" s="5" t="s">
        <v>49</v>
      </c>
      <c r="C21" s="6">
        <v>3</v>
      </c>
      <c r="D21" s="7"/>
      <c r="E21" s="8">
        <v>0.03</v>
      </c>
      <c r="F21" s="9">
        <f t="shared" si="1"/>
        <v>0.09</v>
      </c>
      <c r="G21" s="11" t="s">
        <v>31</v>
      </c>
      <c r="H21" s="4"/>
    </row>
    <row r="22" spans="1:8" ht="14.25">
      <c r="A22" s="13"/>
      <c r="B22" s="14"/>
      <c r="C22" s="15"/>
      <c r="D22" s="16"/>
      <c r="E22" s="17"/>
      <c r="F22" s="18"/>
      <c r="G22" s="19"/>
      <c r="H22" s="4"/>
    </row>
    <row r="23" spans="1:8" ht="14.25">
      <c r="E23" s="20" t="s">
        <v>50</v>
      </c>
      <c r="F23" s="21">
        <f>SUM(F2:F22)</f>
        <v>128.48151111111108</v>
      </c>
    </row>
    <row r="25" spans="1:8" ht="18">
      <c r="E25" s="23"/>
    </row>
    <row r="26" spans="1:8" ht="14.25">
      <c r="B26" s="24" t="s">
        <v>51</v>
      </c>
    </row>
    <row r="27" spans="1:8" ht="14.25">
      <c r="A27" s="1" t="s">
        <v>0</v>
      </c>
      <c r="B27" s="1" t="s">
        <v>1</v>
      </c>
      <c r="C27" s="1" t="s">
        <v>2</v>
      </c>
      <c r="D27" s="1" t="s">
        <v>3</v>
      </c>
      <c r="E27" s="2" t="s">
        <v>4</v>
      </c>
      <c r="F27" s="2" t="s">
        <v>5</v>
      </c>
      <c r="G27" s="1" t="s">
        <v>52</v>
      </c>
    </row>
    <row r="28" spans="1:8" ht="14.25">
      <c r="A28" s="5"/>
      <c r="B28" s="5"/>
      <c r="C28" s="6"/>
      <c r="D28" s="7"/>
      <c r="E28" s="8"/>
      <c r="F28" s="9"/>
      <c r="G28" s="25" t="s">
        <v>31</v>
      </c>
    </row>
    <row r="29" spans="1:8" ht="14.25">
      <c r="A29" s="26"/>
      <c r="B29" s="27"/>
      <c r="C29" s="27"/>
      <c r="D29" s="27"/>
      <c r="E29" s="28"/>
      <c r="F29" s="28"/>
      <c r="G29" s="27"/>
    </row>
    <row r="30" spans="1:8" ht="14.25">
      <c r="A30" s="26"/>
      <c r="B30" s="27"/>
      <c r="C30" s="27"/>
      <c r="D30" s="27"/>
      <c r="E30" s="28"/>
      <c r="F30" s="28"/>
      <c r="G30" s="27"/>
    </row>
    <row r="31" spans="1:8" ht="14.25">
      <c r="A31" s="13"/>
      <c r="B31" s="29"/>
      <c r="C31" s="29"/>
      <c r="D31" s="29"/>
      <c r="E31" s="30"/>
      <c r="F31" s="30"/>
      <c r="G31" s="29"/>
    </row>
    <row r="34" spans="2:2" ht="15">
      <c r="B34" s="31" t="s">
        <v>53</v>
      </c>
    </row>
    <row r="35" spans="2:2" ht="14.25">
      <c r="B35" s="32" t="s">
        <v>54</v>
      </c>
    </row>
    <row r="36" spans="2:2" ht="14.25">
      <c r="B36" s="32" t="s">
        <v>55</v>
      </c>
    </row>
    <row r="37" spans="2:2" ht="14.25">
      <c r="B37" s="32" t="s">
        <v>56</v>
      </c>
    </row>
    <row r="38" spans="2:2" ht="14.25">
      <c r="B38" s="32" t="s">
        <v>57</v>
      </c>
    </row>
    <row r="39" spans="2:2" ht="14.25">
      <c r="B39" s="32" t="s">
        <v>58</v>
      </c>
    </row>
    <row r="40" spans="2:2" ht="14.25">
      <c r="B40" s="32" t="s">
        <v>59</v>
      </c>
    </row>
    <row r="41" spans="2:2" ht="14.25">
      <c r="B41" s="32" t="s">
        <v>60</v>
      </c>
    </row>
    <row r="42" spans="2:2" ht="14.25">
      <c r="B42" s="32" t="s">
        <v>61</v>
      </c>
    </row>
    <row r="43" spans="2:2" ht="14.25">
      <c r="B43" s="32" t="s">
        <v>62</v>
      </c>
    </row>
    <row r="47" spans="2:2" ht="15">
      <c r="B47" s="31" t="s">
        <v>63</v>
      </c>
    </row>
    <row r="48" spans="2:2" ht="14.25">
      <c r="B48" s="32" t="s">
        <v>64</v>
      </c>
    </row>
    <row r="49" spans="2:2" ht="14.25">
      <c r="B49" s="32" t="s">
        <v>65</v>
      </c>
    </row>
    <row r="50" spans="2:2" ht="14.25">
      <c r="B50" s="32" t="s">
        <v>66</v>
      </c>
    </row>
    <row r="51" spans="2:2" ht="14.25">
      <c r="B51" s="32" t="s">
        <v>67</v>
      </c>
    </row>
    <row r="52" spans="2:2" ht="14.25">
      <c r="B52" s="33"/>
    </row>
    <row r="53" spans="2:2" ht="14.25">
      <c r="B53" s="33"/>
    </row>
    <row r="54" spans="2:2" ht="14.25">
      <c r="B54" s="33"/>
    </row>
    <row r="55" spans="2:2" ht="14.25">
      <c r="B55" s="33"/>
    </row>
  </sheetData>
  <hyperlinks>
    <hyperlink ref="G2" r:id="rId1" xr:uid="{0F15A467-E44C-4D13-8643-5B223BCC692D}"/>
    <hyperlink ref="G3" r:id="rId2" xr:uid="{423C1E14-DDD7-42ED-8494-CD7DD84FEBBC}"/>
    <hyperlink ref="G4" r:id="rId3" xr:uid="{61653BFC-8786-402E-9392-F53FBFE3E7CD}"/>
    <hyperlink ref="G5" r:id="rId4" xr:uid="{3A185130-B314-4ACA-8F47-EAA6BB422DEE}"/>
    <hyperlink ref="G6" r:id="rId5" xr:uid="{7E51B9F1-220F-420B-879E-57BADA11EB3B}"/>
    <hyperlink ref="G7" r:id="rId6" xr:uid="{ACA614B9-1A87-4E8B-A69C-5F87B845AA08}"/>
    <hyperlink ref="G8" r:id="rId7" xr:uid="{C347481E-7FC4-488F-A0A4-3B628E650327}"/>
    <hyperlink ref="G9" r:id="rId8" xr:uid="{C158721E-76DC-4687-9E95-868D390A4380}"/>
    <hyperlink ref="G10" r:id="rId9" xr:uid="{B29BFA60-BCF5-4F10-8BD8-16A017D55731}"/>
    <hyperlink ref="G11" r:id="rId10" xr:uid="{9B4D5FB6-B9C6-4047-94E5-7B484E6C1869}"/>
    <hyperlink ref="G13" r:id="rId11" xr:uid="{2FAD068B-296B-4FE0-ADC1-DE2925D97246}"/>
    <hyperlink ref="G14" r:id="rId12" xr:uid="{E982B6F9-C8F6-4F0A-A8FE-0F18A9DC3103}"/>
    <hyperlink ref="G15" r:id="rId13" xr:uid="{84790A5F-FB61-4FB2-9566-8E061726A05D}"/>
    <hyperlink ref="G16" r:id="rId14" xr:uid="{DAF5CB64-133F-4CD3-835B-9E580723CD5C}"/>
    <hyperlink ref="G17" r:id="rId15" xr:uid="{848C19E2-F931-49E6-9EF3-A518AE0EAEF3}"/>
    <hyperlink ref="G18" r:id="rId16" xr:uid="{9C4C6BA2-5E0F-4046-B457-F88EC468F654}"/>
    <hyperlink ref="G19" r:id="rId17" xr:uid="{7BE5D1DA-57D3-4DAD-845D-FAA42EB515D6}"/>
    <hyperlink ref="G20" r:id="rId18" xr:uid="{DDE2ACDA-68C8-4872-948E-74603091819E}"/>
    <hyperlink ref="G21" r:id="rId19" xr:uid="{CF0E5600-4C5A-400D-9D9D-039E4F40EA2B}"/>
    <hyperlink ref="G28" r:id="rId20" xr:uid="{BBC5580D-BE40-4A1F-8326-883D24A018C8}"/>
  </hyperlinks>
  <pageMargins left="0.74805555555555614" right="0.74805555555555614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Shopping_List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Anatol Gogoj</dc:creator>
  <cp:lastModifiedBy>Gogoj, Anatol</cp:lastModifiedBy>
  <dcterms:created xsi:type="dcterms:W3CDTF">2026-02-11T15:18:26Z</dcterms:created>
  <dcterms:modified xsi:type="dcterms:W3CDTF">2026-02-22T14:45:37Z</dcterms:modified>
</cp:coreProperties>
</file>