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uconn-my.sharepoint.com/personal/anatol_gogoj_uconn_edu/Documents/Projects/CAST Spincoater/CAST/doc/"/>
    </mc:Choice>
  </mc:AlternateContent>
  <xr:revisionPtr revIDLastSave="0" documentId="8_{20B66776-69EC-4CE4-9550-B2350FD676F0}" xr6:coauthVersionLast="47" xr6:coauthVersionMax="47" xr10:uidLastSave="{00000000-0000-0000-0000-000000000000}"/>
  <bookViews>
    <workbookView xWindow="-103" yWindow="-103" windowWidth="24892" windowHeight="15634" xr2:uid="{00000000-000D-0000-FFFF-FFFF00000000}"/>
  </bookViews>
  <sheets>
    <sheet name="CAST BoM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" i="1" l="1"/>
  <c r="F23" i="1"/>
  <c r="F22" i="1"/>
  <c r="F21" i="1"/>
  <c r="F18" i="1"/>
  <c r="F17" i="1"/>
  <c r="F16" i="1"/>
  <c r="F13" i="1"/>
  <c r="F12" i="1"/>
  <c r="F11" i="1"/>
  <c r="F10" i="1"/>
  <c r="F7" i="1"/>
  <c r="F6" i="1"/>
</calcChain>
</file>

<file path=xl/sharedStrings.xml><?xml version="1.0" encoding="utf-8"?>
<sst xmlns="http://schemas.openxmlformats.org/spreadsheetml/2006/main" count="50" uniqueCount="29">
  <si>
    <t>Designator</t>
  </si>
  <si>
    <t>Component</t>
  </si>
  <si>
    <t>Number</t>
  </si>
  <si>
    <t>Unit</t>
  </si>
  <si>
    <t>Unit Cost</t>
  </si>
  <si>
    <t>Total Cost</t>
  </si>
  <si>
    <t>Source</t>
  </si>
  <si>
    <t>Electronics — Compute &amp; Display</t>
  </si>
  <si>
    <t>Hosyond 3Pack ESP32-S3 Development Board N16R8 MCU, Dual-Mode Wi-Fi Bluetooth Type-C, Compatible with Arduino IoT ESP32-S3-WROOM-1</t>
  </si>
  <si>
    <t>pkg</t>
  </si>
  <si>
    <t>Amazon</t>
  </si>
  <si>
    <t>Hosyond 4.0 Inch 320x480 TN Capacitive Touch Screen LCD Display Module SPI Serial ST7796S Driver for Arduino R3/Mega2560/ESP32</t>
  </si>
  <si>
    <t>ea</t>
  </si>
  <si>
    <t>HOBBYWING 30404309 Quicrun 3650 G2 10.5T Sensored Brushless Motor</t>
  </si>
  <si>
    <t>Flipsky ODESC V4.2 24V Single-Drive High-Current High-Precision Brushless Servo Motor Controller, FOC / BLDC, ODrivetool Compatible</t>
  </si>
  <si>
    <t>AS5047P Magnetic Rotary Position Sensor / Encoder Breakout Board Module, SPI/ABI/UVW Outputs, 3.3V/5V Arduino Compatible (incl. magnet)</t>
  </si>
  <si>
    <t>SELOKY LM2596 DC-DC Buck Power Converter Module, Adjustable Voltage Regulator 4-40V to 1.25-37V (3PCS)</t>
  </si>
  <si>
    <t>Power &amp; Interconnects</t>
  </si>
  <si>
    <t>SHNITPWR 12V 10A 120W DC Power Supply Adapter 100V~240V AC to DC Converter, 5.5x2.5mm Tip</t>
  </si>
  <si>
    <t>SDTC Tech 3 Sets 5.5 x 2.5 MM 10A DC Power Jack Socket Threaded Female Panel Mount Connector Adapter &amp; 12V Male DC Pigtail</t>
  </si>
  <si>
    <t>MILAPEAK Terminal Block and Strip — 6 Sets 4/5/6 Positions 600V 15A Dual Row Wire Screw Terminal Strip Block with Cover</t>
  </si>
  <si>
    <t>Frame &amp; Mechanical</t>
  </si>
  <si>
    <t>Kernmax 1120Pcs M3 Countersunk Screws Kit — M3 Flat Head Screws, Phillips Bolts Nuts Washers Set for 3D Printers</t>
  </si>
  <si>
    <t>Yaocom 300 Pcs M3 Threaded Inserts M3 x D5 x L4 Heat Set Inserts Brass for 3D Printing</t>
  </si>
  <si>
    <t>Scotch Clear Adhesive Bumper Pads 40 PCS, Self-Stick Rubber Pads 1/2" Round (cabinet door bumpers for feet)</t>
  </si>
  <si>
    <t>TOTAL</t>
  </si>
  <si>
    <t>Rev 0  |  Feb 2026  |  All items purchased via Amazon.com</t>
  </si>
  <si>
    <t>CAST Spin Coater - Prototype Purchase Record</t>
  </si>
  <si>
    <t>Electronics / Motor Drive Subsystem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</si>
</sst>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b/>
      <sz val="11"/>
      <color rgb="FF2E4057"/>
      <name val="Arial"/>
      <family val="2"/>
    </font>
    <font>
      <i/>
      <sz val="11"/>
      <color rgb="FF666666"/>
      <name val="Arial"/>
      <family val="2"/>
    </font>
    <font>
      <b/>
      <sz val="11"/>
      <color rgb="FFFFFFFF"/>
      <name val="Arial"/>
      <family val="2"/>
    </font>
    <font>
      <sz val="11"/>
      <name val="Arial"/>
      <family val="2"/>
    </font>
    <font>
      <u/>
      <sz val="11"/>
      <color rgb="FF1155CC"/>
      <name val="Arial"/>
      <family val="2"/>
    </font>
    <font>
      <b/>
      <sz val="1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4A7C9E"/>
      </patternFill>
    </fill>
    <fill>
      <patternFill patternType="solid">
        <fgColor rgb="FFF5F5F5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CCCCCC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2">
    <xf numFmtId="0" fontId="0" fillId="0" borderId="0" xfId="0"/>
    <xf numFmtId="0" fontId="2" fillId="0" borderId="0" xfId="0" applyFont="1"/>
    <xf numFmtId="0" fontId="2" fillId="0" borderId="0" xfId="0" applyFont="1"/>
    <xf numFmtId="0" fontId="3" fillId="4" borderId="1" xfId="1" applyFont="1" applyFill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6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 wrapText="1"/>
    </xf>
    <xf numFmtId="164" fontId="7" fillId="0" borderId="1" xfId="0" applyNumberFormat="1" applyFont="1" applyBorder="1" applyAlignment="1">
      <alignment horizontal="right" vertical="center"/>
    </xf>
    <xf numFmtId="0" fontId="8" fillId="0" borderId="1" xfId="0" applyFont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 wrapText="1"/>
    </xf>
    <xf numFmtId="164" fontId="7" fillId="4" borderId="1" xfId="0" applyNumberFormat="1" applyFont="1" applyFill="1" applyBorder="1" applyAlignment="1">
      <alignment horizontal="right" vertical="center"/>
    </xf>
    <xf numFmtId="0" fontId="8" fillId="4" borderId="1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right" vertical="center"/>
    </xf>
    <xf numFmtId="0" fontId="2" fillId="0" borderId="3" xfId="0" applyFont="1" applyBorder="1"/>
    <xf numFmtId="164" fontId="9" fillId="5" borderId="2" xfId="0" applyNumberFormat="1" applyFont="1" applyFill="1" applyBorder="1" applyAlignment="1">
      <alignment horizontal="right" vertical="center"/>
    </xf>
    <xf numFmtId="0" fontId="9" fillId="5" borderId="4" xfId="0" applyFont="1" applyFill="1" applyBorder="1" applyAlignment="1">
      <alignment vertical="center"/>
    </xf>
    <xf numFmtId="0" fontId="2" fillId="0" borderId="0" xfId="0" applyFont="1" applyBorder="1" applyAlignme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gp/product/B0B6FFN4V5/ref=ox_sc_act_title_7?smid=A1QLGMVB669WW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www.amazon.com/dp/B073DBMFTV" TargetMode="External"/><Relationship Id="rId7" Type="http://schemas.openxmlformats.org/officeDocument/2006/relationships/hyperlink" Target="https://www.amazon.com/dp/B07PWZQ33N" TargetMode="External"/><Relationship Id="rId12" Type="http://schemas.openxmlformats.org/officeDocument/2006/relationships/hyperlink" Target="https://www.amazon.com/gp/product/B01N74P0QB/ref=ox_sc_act_title_3?smid=ATVPDKIKX0DER" TargetMode="External"/><Relationship Id="rId2" Type="http://schemas.openxmlformats.org/officeDocument/2006/relationships/hyperlink" Target="https://www.amazon.com/dp/B0CRGQN58D" TargetMode="External"/><Relationship Id="rId1" Type="http://schemas.openxmlformats.org/officeDocument/2006/relationships/hyperlink" Target="https://www.amazon.com/dp/B0F5QCK6X5" TargetMode="External"/><Relationship Id="rId6" Type="http://schemas.openxmlformats.org/officeDocument/2006/relationships/hyperlink" Target="https://www.amazon.com/gp/product/B0F1M24KG3/ref=ox_sc_act_title_6?smid=A2E1XB0KAFTH8V" TargetMode="External"/><Relationship Id="rId11" Type="http://schemas.openxmlformats.org/officeDocument/2006/relationships/hyperlink" Target="https://www.amazon.com/gp/product/B0DG59PW2R/ref=ox_sc_act_title_4?smid=A3591H1L46S7UX" TargetMode="External"/><Relationship Id="rId5" Type="http://schemas.openxmlformats.org/officeDocument/2006/relationships/hyperlink" Target="https://www.amazon.com/dp/B0DLJ6XDNM" TargetMode="External"/><Relationship Id="rId10" Type="http://schemas.openxmlformats.org/officeDocument/2006/relationships/hyperlink" Target="https://www.amazon.com/gp/product/B0FQ3XXN8F/ref=ox_sc_act_title_1?smid=A2T2OP087XLSR2" TargetMode="External"/><Relationship Id="rId4" Type="http://schemas.openxmlformats.org/officeDocument/2006/relationships/hyperlink" Target="https://www.amazon.com/dp/B0CB64MVHC" TargetMode="External"/><Relationship Id="rId9" Type="http://schemas.openxmlformats.org/officeDocument/2006/relationships/hyperlink" Target="https://www.amazon.com/gp/product/B08ZXLDLSX/ref=ox_sc_act_title_8?smid=A1P8HQHD4AJML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5"/>
  <sheetViews>
    <sheetView tabSelected="1" workbookViewId="0">
      <pane ySplit="4" topLeftCell="A12" activePane="bottomLeft" state="frozen"/>
      <selection pane="bottomLeft" activeCell="J17" sqref="J17"/>
    </sheetView>
  </sheetViews>
  <sheetFormatPr defaultRowHeight="14.15" x14ac:dyDescent="0.35"/>
  <cols>
    <col min="1" max="1" width="12" style="2" customWidth="1"/>
    <col min="2" max="2" width="62" style="2" customWidth="1"/>
    <col min="3" max="3" width="10" style="2" customWidth="1"/>
    <col min="4" max="4" width="8" style="2" customWidth="1"/>
    <col min="5" max="6" width="13" style="2" customWidth="1"/>
    <col min="7" max="7" width="12" style="2" customWidth="1"/>
    <col min="8" max="16384" width="9.23046875" style="2"/>
  </cols>
  <sheetData>
    <row r="1" spans="1:7" ht="22" customHeight="1" x14ac:dyDescent="0.35">
      <c r="A1" s="5" t="s">
        <v>27</v>
      </c>
      <c r="B1" s="1"/>
      <c r="C1" s="1"/>
      <c r="D1" s="1"/>
      <c r="E1" s="1"/>
      <c r="F1" s="1"/>
      <c r="G1" s="1"/>
    </row>
    <row r="2" spans="1:7" x14ac:dyDescent="0.35">
      <c r="A2" s="6" t="s">
        <v>26</v>
      </c>
      <c r="B2" s="1"/>
      <c r="C2" s="1"/>
      <c r="D2" s="1"/>
      <c r="E2" s="1"/>
      <c r="F2" s="1"/>
      <c r="G2" s="1"/>
    </row>
    <row r="4" spans="1:7" ht="16" customHeight="1" x14ac:dyDescent="0.35">
      <c r="A4" s="7" t="s">
        <v>0</v>
      </c>
      <c r="B4" s="7" t="s">
        <v>1</v>
      </c>
      <c r="C4" s="7" t="s">
        <v>2</v>
      </c>
      <c r="D4" s="7" t="s">
        <v>3</v>
      </c>
      <c r="E4" s="7" t="s">
        <v>4</v>
      </c>
      <c r="F4" s="7" t="s">
        <v>5</v>
      </c>
      <c r="G4" s="7" t="s">
        <v>6</v>
      </c>
    </row>
    <row r="5" spans="1:7" ht="15" customHeight="1" x14ac:dyDescent="0.35">
      <c r="A5" s="8" t="s">
        <v>7</v>
      </c>
      <c r="B5" s="1"/>
      <c r="C5" s="1"/>
      <c r="D5" s="1"/>
      <c r="E5" s="1"/>
      <c r="F5" s="1"/>
      <c r="G5" s="1"/>
    </row>
    <row r="6" spans="1:7" ht="42.45" x14ac:dyDescent="0.35">
      <c r="A6" s="9"/>
      <c r="B6" s="10" t="s">
        <v>8</v>
      </c>
      <c r="C6" s="9">
        <v>1</v>
      </c>
      <c r="D6" s="9" t="s">
        <v>9</v>
      </c>
      <c r="E6" s="11">
        <v>18.989999999999998</v>
      </c>
      <c r="F6" s="11">
        <f>C6*E6</f>
        <v>18.989999999999998</v>
      </c>
      <c r="G6" s="12" t="s">
        <v>10</v>
      </c>
    </row>
    <row r="7" spans="1:7" ht="42.45" x14ac:dyDescent="0.35">
      <c r="A7" s="13"/>
      <c r="B7" s="14" t="s">
        <v>11</v>
      </c>
      <c r="C7" s="13">
        <v>1</v>
      </c>
      <c r="D7" s="13" t="s">
        <v>12</v>
      </c>
      <c r="E7" s="15">
        <v>20.99</v>
      </c>
      <c r="F7" s="15">
        <f>C7*E7</f>
        <v>20.99</v>
      </c>
      <c r="G7" s="16" t="s">
        <v>10</v>
      </c>
    </row>
    <row r="9" spans="1:7" ht="15" customHeight="1" x14ac:dyDescent="0.35">
      <c r="A9" s="8" t="s">
        <v>28</v>
      </c>
      <c r="B9" s="1"/>
      <c r="C9" s="1"/>
      <c r="D9" s="1"/>
      <c r="E9" s="1"/>
      <c r="F9" s="1"/>
      <c r="G9" s="1"/>
    </row>
    <row r="10" spans="1:7" ht="28.3" x14ac:dyDescent="0.35">
      <c r="A10" s="9"/>
      <c r="B10" s="10" t="s">
        <v>13</v>
      </c>
      <c r="C10" s="9">
        <v>1</v>
      </c>
      <c r="D10" s="9" t="s">
        <v>12</v>
      </c>
      <c r="E10" s="11">
        <v>49.99</v>
      </c>
      <c r="F10" s="11">
        <f>C10*E10</f>
        <v>49.99</v>
      </c>
      <c r="G10" s="12" t="s">
        <v>10</v>
      </c>
    </row>
    <row r="11" spans="1:7" ht="42.45" x14ac:dyDescent="0.35">
      <c r="A11" s="13"/>
      <c r="B11" s="14" t="s">
        <v>14</v>
      </c>
      <c r="C11" s="13">
        <v>1</v>
      </c>
      <c r="D11" s="13" t="s">
        <v>12</v>
      </c>
      <c r="E11" s="15">
        <v>39.99</v>
      </c>
      <c r="F11" s="15">
        <f>C11*E11</f>
        <v>39.99</v>
      </c>
      <c r="G11" s="16" t="s">
        <v>10</v>
      </c>
    </row>
    <row r="12" spans="1:7" ht="42.45" x14ac:dyDescent="0.35">
      <c r="A12" s="9"/>
      <c r="B12" s="10" t="s">
        <v>15</v>
      </c>
      <c r="C12" s="9">
        <v>1</v>
      </c>
      <c r="D12" s="9" t="s">
        <v>12</v>
      </c>
      <c r="E12" s="11">
        <v>24.99</v>
      </c>
      <c r="F12" s="11">
        <f>C12*E12</f>
        <v>24.99</v>
      </c>
      <c r="G12" s="12" t="s">
        <v>10</v>
      </c>
    </row>
    <row r="13" spans="1:7" ht="28.3" x14ac:dyDescent="0.35">
      <c r="A13" s="13"/>
      <c r="B13" s="14" t="s">
        <v>16</v>
      </c>
      <c r="C13" s="13">
        <v>1</v>
      </c>
      <c r="D13" s="13" t="s">
        <v>9</v>
      </c>
      <c r="E13" s="15">
        <v>9.99</v>
      </c>
      <c r="F13" s="15">
        <f>C13*E13</f>
        <v>9.99</v>
      </c>
      <c r="G13" s="3" t="s">
        <v>10</v>
      </c>
    </row>
    <row r="15" spans="1:7" ht="15" customHeight="1" x14ac:dyDescent="0.35">
      <c r="A15" s="8" t="s">
        <v>17</v>
      </c>
      <c r="B15" s="1"/>
      <c r="C15" s="1"/>
      <c r="D15" s="1"/>
      <c r="E15" s="1"/>
      <c r="F15" s="1"/>
      <c r="G15" s="1"/>
    </row>
    <row r="16" spans="1:7" ht="28.3" x14ac:dyDescent="0.35">
      <c r="A16" s="9"/>
      <c r="B16" s="10" t="s">
        <v>18</v>
      </c>
      <c r="C16" s="9">
        <v>1</v>
      </c>
      <c r="D16" s="9" t="s">
        <v>12</v>
      </c>
      <c r="E16" s="11">
        <v>20.99</v>
      </c>
      <c r="F16" s="11">
        <f>C16*E16</f>
        <v>20.99</v>
      </c>
      <c r="G16" s="12" t="s">
        <v>10</v>
      </c>
    </row>
    <row r="17" spans="1:11" ht="42.45" x14ac:dyDescent="0.35">
      <c r="A17" s="13"/>
      <c r="B17" s="14" t="s">
        <v>19</v>
      </c>
      <c r="C17" s="13">
        <v>1</v>
      </c>
      <c r="D17" s="13" t="s">
        <v>9</v>
      </c>
      <c r="E17" s="15">
        <v>8.99</v>
      </c>
      <c r="F17" s="15">
        <f>C17*E17</f>
        <v>8.99</v>
      </c>
      <c r="G17" s="3" t="s">
        <v>10</v>
      </c>
    </row>
    <row r="18" spans="1:11" ht="28.3" x14ac:dyDescent="0.35">
      <c r="A18" s="9"/>
      <c r="B18" s="10" t="s">
        <v>20</v>
      </c>
      <c r="C18" s="9">
        <v>1</v>
      </c>
      <c r="D18" s="9" t="s">
        <v>9</v>
      </c>
      <c r="E18" s="11">
        <v>9.89</v>
      </c>
      <c r="F18" s="11">
        <f>C18*E18</f>
        <v>9.89</v>
      </c>
      <c r="G18" s="4" t="s">
        <v>10</v>
      </c>
    </row>
    <row r="20" spans="1:11" ht="15" customHeight="1" x14ac:dyDescent="0.35">
      <c r="A20" s="8" t="s">
        <v>21</v>
      </c>
      <c r="B20" s="1"/>
      <c r="C20" s="1"/>
      <c r="D20" s="1"/>
      <c r="E20" s="1"/>
      <c r="F20" s="1"/>
      <c r="G20" s="1"/>
    </row>
    <row r="21" spans="1:11" ht="28.3" x14ac:dyDescent="0.35">
      <c r="A21" s="9"/>
      <c r="B21" s="10" t="s">
        <v>22</v>
      </c>
      <c r="C21" s="9">
        <v>1</v>
      </c>
      <c r="D21" s="9" t="s">
        <v>9</v>
      </c>
      <c r="E21" s="11">
        <v>5.99</v>
      </c>
      <c r="F21" s="11">
        <f>C21*E21</f>
        <v>5.99</v>
      </c>
      <c r="G21" s="4" t="s">
        <v>10</v>
      </c>
    </row>
    <row r="22" spans="1:11" ht="28.3" x14ac:dyDescent="0.35">
      <c r="A22" s="13"/>
      <c r="B22" s="14" t="s">
        <v>23</v>
      </c>
      <c r="C22" s="13">
        <v>1</v>
      </c>
      <c r="D22" s="13" t="s">
        <v>9</v>
      </c>
      <c r="E22" s="15">
        <v>9.99</v>
      </c>
      <c r="F22" s="15">
        <f>C22*E22</f>
        <v>9.99</v>
      </c>
      <c r="G22" s="3" t="s">
        <v>10</v>
      </c>
    </row>
    <row r="23" spans="1:11" ht="28.3" x14ac:dyDescent="0.35">
      <c r="A23" s="9"/>
      <c r="B23" s="10" t="s">
        <v>24</v>
      </c>
      <c r="C23" s="9">
        <v>1</v>
      </c>
      <c r="D23" s="9" t="s">
        <v>9</v>
      </c>
      <c r="E23" s="11">
        <v>4.95</v>
      </c>
      <c r="F23" s="11">
        <f>C23*E23</f>
        <v>4.95</v>
      </c>
      <c r="G23" s="4" t="s">
        <v>10</v>
      </c>
    </row>
    <row r="25" spans="1:11" ht="18" customHeight="1" x14ac:dyDescent="0.35">
      <c r="A25" s="17" t="s">
        <v>25</v>
      </c>
      <c r="B25" s="18"/>
      <c r="C25" s="18"/>
      <c r="D25" s="18"/>
      <c r="E25" s="18"/>
      <c r="F25" s="19">
        <f>SUM(F6:F7,F10:F13,F16:F18,F21:F23)</f>
        <v>225.74000000000007</v>
      </c>
      <c r="G25" s="20"/>
      <c r="H25" s="21"/>
      <c r="I25" s="21"/>
      <c r="J25" s="21"/>
      <c r="K25" s="21"/>
    </row>
  </sheetData>
  <mergeCells count="7">
    <mergeCell ref="A1:G1"/>
    <mergeCell ref="A9:G9"/>
    <mergeCell ref="A25:E25"/>
    <mergeCell ref="A20:G20"/>
    <mergeCell ref="A2:G2"/>
    <mergeCell ref="A15:G15"/>
    <mergeCell ref="A5:G5"/>
  </mergeCells>
  <hyperlinks>
    <hyperlink ref="G6" r:id="rId1" xr:uid="{00000000-0004-0000-0000-000000000000}"/>
    <hyperlink ref="G7" r:id="rId2" xr:uid="{00000000-0004-0000-0000-000001000000}"/>
    <hyperlink ref="G10" r:id="rId3" xr:uid="{00000000-0004-0000-0000-000002000000}"/>
    <hyperlink ref="G11" r:id="rId4" xr:uid="{00000000-0004-0000-0000-000003000000}"/>
    <hyperlink ref="G12" r:id="rId5" xr:uid="{00000000-0004-0000-0000-000004000000}"/>
    <hyperlink ref="G13" r:id="rId6" xr:uid="{00000000-0004-0000-0000-000005000000}"/>
    <hyperlink ref="G16" r:id="rId7" xr:uid="{00000000-0004-0000-0000-000006000000}"/>
    <hyperlink ref="G17" r:id="rId8" xr:uid="{00000000-0004-0000-0000-000007000000}"/>
    <hyperlink ref="G18" r:id="rId9" xr:uid="{00000000-0004-0000-0000-000008000000}"/>
    <hyperlink ref="G21" r:id="rId10" xr:uid="{00000000-0004-0000-0000-000009000000}"/>
    <hyperlink ref="G22" r:id="rId11" xr:uid="{00000000-0004-0000-0000-00000A000000}"/>
    <hyperlink ref="G23" r:id="rId12" xr:uid="{00000000-0004-0000-0000-00000B000000}"/>
  </hyperlinks>
  <pageMargins left="0.75" right="0.75" top="1" bottom="1" header="0.5" footer="0.5"/>
  <pageSetup orientation="portrait" r:id="rId1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CAST 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Gogoj, Anatol</cp:lastModifiedBy>
  <dcterms:created xsi:type="dcterms:W3CDTF">2026-02-26T05:51:05Z</dcterms:created>
  <dcterms:modified xsi:type="dcterms:W3CDTF">2026-02-26T06:00:30Z</dcterms:modified>
</cp:coreProperties>
</file>