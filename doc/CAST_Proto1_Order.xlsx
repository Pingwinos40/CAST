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conn-my.sharepoint.com/personal/anatol_gogoj_uconn_edu/Documents/Projects/CAST Spincoater/CAST/doc/"/>
    </mc:Choice>
  </mc:AlternateContent>
  <xr:revisionPtr revIDLastSave="43" documentId="8_{20B66776-69EC-4CE4-9550-B2350FD676F0}" xr6:coauthVersionLast="47" xr6:coauthVersionMax="47" xr10:uidLastSave="{2CD81EBE-7F37-4C4B-8711-D31CA2D7900F}"/>
  <bookViews>
    <workbookView xWindow="38280" yWindow="5280" windowWidth="29040" windowHeight="15840" xr2:uid="{00000000-000D-0000-FFFF-FFFF00000000}"/>
  </bookViews>
  <sheets>
    <sheet name="CAST BoM"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 l="1"/>
  <c r="F19" i="1"/>
  <c r="F8" i="1"/>
  <c r="F24" i="1"/>
  <c r="F23" i="1"/>
  <c r="F22" i="1"/>
  <c r="F18" i="1"/>
  <c r="F17" i="1"/>
  <c r="F16" i="1"/>
  <c r="F13" i="1"/>
  <c r="F12" i="1"/>
  <c r="F11" i="1"/>
  <c r="F7" i="1"/>
  <c r="F6" i="1"/>
</calcChain>
</file>

<file path=xl/sharedStrings.xml><?xml version="1.0" encoding="utf-8"?>
<sst xmlns="http://schemas.openxmlformats.org/spreadsheetml/2006/main" count="53" uniqueCount="30">
  <si>
    <t>Designator</t>
  </si>
  <si>
    <t>Component</t>
  </si>
  <si>
    <t>Number</t>
  </si>
  <si>
    <t>Unit</t>
  </si>
  <si>
    <t>Unit Cost</t>
  </si>
  <si>
    <t>Total Cost</t>
  </si>
  <si>
    <t>Source</t>
  </si>
  <si>
    <t>Electronics — Compute &amp; Display</t>
  </si>
  <si>
    <t>Hosyond 3Pack ESP32-S3 Development Board N16R8 MCU, Dual-Mode Wi-Fi Bluetooth Type-C, Compatible with Arduino IoT ESP32-S3-WROOM-1</t>
  </si>
  <si>
    <t>pkg</t>
  </si>
  <si>
    <t>Amazon</t>
  </si>
  <si>
    <t>Hosyond 4.0 Inch 320x480 TN Capacitive Touch Screen LCD Display Module SPI Serial ST7796S Driver for Arduino R3/Mega2560/ESP32</t>
  </si>
  <si>
    <t>ea</t>
  </si>
  <si>
    <t>HOBBYWING 30404309 Quicrun 3650 G2 10.5T Sensored Brushless Motor</t>
  </si>
  <si>
    <t>Flipsky ODESC V4.2 24V Single-Drive High-Current High-Precision Brushless Servo Motor Controller, FOC / BLDC, ODrivetool Compatible</t>
  </si>
  <si>
    <t>SELOKY LM2596 DC-DC Buck Power Converter Module, Adjustable Voltage Regulator 4-40V to 1.25-37V (3PCS)</t>
  </si>
  <si>
    <t>Power &amp; Interconnects</t>
  </si>
  <si>
    <t>SHNITPWR 12V 10A 120W DC Power Supply Adapter 100V~240V AC to DC Converter, 5.5x2.5mm Tip</t>
  </si>
  <si>
    <t>SDTC Tech 3 Sets 5.5 x 2.5 MM 10A DC Power Jack Socket Threaded Female Panel Mount Connector Adapter &amp; 12V Male DC Pigtail</t>
  </si>
  <si>
    <t>MILAPEAK Terminal Block and Strip — 6 Sets 4/5/6 Positions 600V 15A Dual Row Wire Screw Terminal Strip Block with Cover</t>
  </si>
  <si>
    <t>Frame &amp; Mechanical</t>
  </si>
  <si>
    <t>Yaocom 300 Pcs M3 Threaded Inserts M3 x D5 x L4 Heat Set Inserts Brass for 3D Printing</t>
  </si>
  <si>
    <t>Scotch Clear Adhesive Bumper Pads 40 PCS, Self-Stick Rubber Pads 1/2" Round (cabinet door bumpers for feet)</t>
  </si>
  <si>
    <t>TOTAL</t>
  </si>
  <si>
    <t>CAST Spin Coater - Prototype Purchase Record</t>
  </si>
  <si>
    <t>Electronics / Motor Drive Subsystem</t>
  </si>
  <si>
    <t xml:space="preserve">900 Pcs Torx Countersunk Head Screws, M2 M2.5 M3 Bolts and Nuts Washers Set, Star Drive Flat Head Machine Screws, 304 Stainless Steel, Small Torx Bolts Fully Threaded with T6 T8 T10 Wrench </t>
  </si>
  <si>
    <t>Rev 1  |  Mar 2026  |  All items purchased via Amazon.com</t>
  </si>
  <si>
    <t xml:space="preserve">3PCS ESP32 Breakout Board GPIO 1 into 2 Compatible with 30 Pins ESP32S ESP32 Development Board 2.4 GHz Dual Core WLAN WiFi + Bluetooth 2-in-1 Microcontroller ESP-WROOM-32 Chip for Arduino </t>
  </si>
  <si>
    <t xml:space="preserve">ELEGOO 120pcs Multicolored Dupont Wire 40pin Male to Female, 40pin Male to Male, 40pin Female to Female Breadboard Jumper Ribbon Cables Kit Compatible with Arduino Projects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</si>
</sst>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0" x14ac:knownFonts="1">
    <font>
      <sz val="11"/>
      <color theme="1"/>
      <name val="Calibri"/>
      <family val="2"/>
      <scheme val="minor"/>
    </font>
    <font>
      <u/>
      <sz val="11"/>
      <color theme="10"/>
      <name val="Calibri"/>
      <family val="2"/>
      <scheme val="minor"/>
    </font>
    <font>
      <sz val="11"/>
      <color theme="1"/>
      <name val="Arial"/>
      <family val="2"/>
    </font>
    <font>
      <u/>
      <sz val="11"/>
      <color theme="10"/>
      <name val="Arial"/>
      <family val="2"/>
    </font>
    <font>
      <b/>
      <sz val="11"/>
      <color rgb="FF2E4057"/>
      <name val="Arial"/>
      <family val="2"/>
    </font>
    <font>
      <i/>
      <sz val="11"/>
      <color rgb="FF666666"/>
      <name val="Arial"/>
      <family val="2"/>
    </font>
    <font>
      <b/>
      <sz val="11"/>
      <color rgb="FFFFFFFF"/>
      <name val="Arial"/>
      <family val="2"/>
    </font>
    <font>
      <sz val="11"/>
      <name val="Arial"/>
      <family val="2"/>
    </font>
    <font>
      <u/>
      <sz val="11"/>
      <color rgb="FF1155CC"/>
      <name val="Arial"/>
      <family val="2"/>
    </font>
    <font>
      <b/>
      <sz val="11"/>
      <name val="Arial"/>
      <family val="2"/>
    </font>
  </fonts>
  <fills count="6">
    <fill>
      <patternFill patternType="none"/>
    </fill>
    <fill>
      <patternFill patternType="gray125"/>
    </fill>
    <fill>
      <patternFill patternType="solid">
        <fgColor rgb="FF2E4057"/>
      </patternFill>
    </fill>
    <fill>
      <patternFill patternType="solid">
        <fgColor rgb="FF4A7C9E"/>
      </patternFill>
    </fill>
    <fill>
      <patternFill patternType="solid">
        <fgColor rgb="FFF5F5F5"/>
      </patternFill>
    </fill>
    <fill>
      <patternFill patternType="solid">
        <fgColor rgb="FFFFF2CC"/>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indexed="64"/>
      </top>
      <bottom style="thin">
        <color indexed="64"/>
      </bottom>
      <diagonal/>
    </border>
    <border>
      <left/>
      <right/>
      <top style="thin">
        <color indexed="64"/>
      </top>
      <bottom style="thin">
        <color indexed="64"/>
      </bottom>
      <diagonal/>
    </border>
    <border>
      <left style="thin">
        <color rgb="FFCCCCCC"/>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0" xfId="0" applyFont="1"/>
    <xf numFmtId="0" fontId="3" fillId="4" borderId="1" xfId="1" applyFont="1" applyFill="1" applyBorder="1" applyAlignment="1">
      <alignment horizontal="center" vertical="center"/>
    </xf>
    <xf numFmtId="0" fontId="3" fillId="0" borderId="1" xfId="1" applyFont="1" applyBorder="1" applyAlignment="1">
      <alignment horizontal="center" vertical="center"/>
    </xf>
    <xf numFmtId="0" fontId="6" fillId="2"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64" fontId="7" fillId="0" borderId="1" xfId="0" applyNumberFormat="1" applyFont="1" applyBorder="1" applyAlignment="1">
      <alignment horizontal="right" vertical="center"/>
    </xf>
    <xf numFmtId="0" fontId="8" fillId="0" borderId="1" xfId="0" applyFont="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164" fontId="7" fillId="4" borderId="1" xfId="0" applyNumberFormat="1" applyFont="1" applyFill="1" applyBorder="1" applyAlignment="1">
      <alignment horizontal="right" vertical="center"/>
    </xf>
    <xf numFmtId="0" fontId="8" fillId="4" borderId="1" xfId="0" applyFont="1" applyFill="1" applyBorder="1" applyAlignment="1">
      <alignment horizontal="center" vertical="center"/>
    </xf>
    <xf numFmtId="164" fontId="9" fillId="5" borderId="2" xfId="0" applyNumberFormat="1" applyFont="1" applyFill="1" applyBorder="1" applyAlignment="1">
      <alignment horizontal="right" vertical="center"/>
    </xf>
    <xf numFmtId="0" fontId="9" fillId="5" borderId="4" xfId="0" applyFont="1" applyFill="1" applyBorder="1" applyAlignment="1">
      <alignment vertical="center"/>
    </xf>
    <xf numFmtId="0" fontId="4" fillId="0" borderId="0" xfId="0" applyFont="1" applyAlignment="1">
      <alignment horizontal="left" vertical="center"/>
    </xf>
    <xf numFmtId="0" fontId="2" fillId="0" borderId="0" xfId="0" applyFont="1"/>
    <xf numFmtId="0" fontId="6" fillId="3" borderId="1" xfId="0" applyFont="1" applyFill="1" applyBorder="1" applyAlignment="1">
      <alignment horizontal="left" vertical="center" wrapText="1"/>
    </xf>
    <xf numFmtId="0" fontId="9" fillId="5" borderId="2" xfId="0" applyFont="1" applyFill="1" applyBorder="1" applyAlignment="1">
      <alignment horizontal="right" vertical="center"/>
    </xf>
    <xf numFmtId="0" fontId="2" fillId="0" borderId="3" xfId="0" applyFont="1" applyBorder="1"/>
    <xf numFmtId="0" fontId="5" fillId="0" borderId="0" xfId="0" applyFont="1" applyAlignment="1">
      <alignment horizontal="left" vertical="center" wrapText="1"/>
    </xf>
    <xf numFmtId="0" fontId="7" fillId="0" borderId="0" xfId="0" applyFont="1" applyBorder="1" applyAlignment="1">
      <alignment horizontal="center" vertical="center"/>
    </xf>
    <xf numFmtId="0" fontId="7" fillId="0" borderId="0" xfId="0" applyFont="1" applyBorder="1" applyAlignment="1">
      <alignment horizontal="left" vertical="center" wrapText="1"/>
    </xf>
    <xf numFmtId="164" fontId="7" fillId="0" borderId="0" xfId="0" applyNumberFormat="1" applyFont="1" applyBorder="1" applyAlignment="1">
      <alignment horizontal="right" vertical="center"/>
    </xf>
    <xf numFmtId="0" fontId="3" fillId="0" borderId="0" xfId="1" applyFont="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gp/product/B08ZXLDLSX/ref=ox_sc_act_title_8?smid=A1P8HQHD4AJMLY" TargetMode="External"/><Relationship Id="rId13" Type="http://schemas.openxmlformats.org/officeDocument/2006/relationships/hyperlink" Target="https://www.amazon.com/Elegoo-EL-CP-004-Multicolored-Breadboard-arduino/dp/B01EV70C78/ref=sr_1_3" TargetMode="External"/><Relationship Id="rId3" Type="http://schemas.openxmlformats.org/officeDocument/2006/relationships/hyperlink" Target="https://www.amazon.com/dp/B073DBMFTV" TargetMode="External"/><Relationship Id="rId7" Type="http://schemas.openxmlformats.org/officeDocument/2006/relationships/hyperlink" Target="https://www.amazon.com/gp/product/B0B6FFN4V5/ref=ox_sc_act_title_7?smid=A1QLGMVB669WW" TargetMode="External"/><Relationship Id="rId12" Type="http://schemas.openxmlformats.org/officeDocument/2006/relationships/hyperlink" Target="https://www.amazon.com/Compatible-Development-Bluetooth-Microcontroller-ESP-WROOM-32/dp/B0BNQ85GF3/ref=sr_1_3" TargetMode="External"/><Relationship Id="rId2" Type="http://schemas.openxmlformats.org/officeDocument/2006/relationships/hyperlink" Target="https://www.amazon.com/dp/B0CRGQN58D" TargetMode="External"/><Relationship Id="rId1" Type="http://schemas.openxmlformats.org/officeDocument/2006/relationships/hyperlink" Target="https://www.amazon.com/dp/B0F5QCK6X5" TargetMode="External"/><Relationship Id="rId6" Type="http://schemas.openxmlformats.org/officeDocument/2006/relationships/hyperlink" Target="https://www.amazon.com/dp/B07PWZQ33N" TargetMode="External"/><Relationship Id="rId11" Type="http://schemas.openxmlformats.org/officeDocument/2006/relationships/hyperlink" Target="https://www.amazon.com/gp/product/B01N74P0QB/ref=ox_sc_act_title_3?smid=ATVPDKIKX0DER" TargetMode="External"/><Relationship Id="rId5" Type="http://schemas.openxmlformats.org/officeDocument/2006/relationships/hyperlink" Target="https://www.amazon.com/gp/product/B0F1M24KG3/ref=ox_sc_act_title_6?smid=A2E1XB0KAFTH8V" TargetMode="External"/><Relationship Id="rId10" Type="http://schemas.openxmlformats.org/officeDocument/2006/relationships/hyperlink" Target="https://www.amazon.com/gp/product/B0DG59PW2R/ref=ox_sc_act_title_4?smid=A3591H1L46S7UX" TargetMode="External"/><Relationship Id="rId4" Type="http://schemas.openxmlformats.org/officeDocument/2006/relationships/hyperlink" Target="https://www.amazon.com/dp/B0CB64MVHC" TargetMode="External"/><Relationship Id="rId9" Type="http://schemas.openxmlformats.org/officeDocument/2006/relationships/hyperlink" Target="https://www.amazon.com/HanTof-Countersunk-Washers-Machine-Threaded/dp/B0FF4W4RXK/ref=sr_1_4"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workbookViewId="0">
      <pane ySplit="4" topLeftCell="A12" activePane="bottomLeft" state="frozen"/>
      <selection pane="bottomLeft" activeCell="H28" sqref="H28"/>
    </sheetView>
  </sheetViews>
  <sheetFormatPr defaultColWidth="9.28515625" defaultRowHeight="14.25" x14ac:dyDescent="0.2"/>
  <cols>
    <col min="1" max="1" width="12" style="1" customWidth="1"/>
    <col min="2" max="2" width="62" style="1" customWidth="1"/>
    <col min="3" max="3" width="10" style="1" customWidth="1"/>
    <col min="4" max="4" width="8" style="1" customWidth="1"/>
    <col min="5" max="6" width="13" style="1" customWidth="1"/>
    <col min="7" max="7" width="12" style="1" customWidth="1"/>
    <col min="8" max="16384" width="9.28515625" style="1"/>
  </cols>
  <sheetData>
    <row r="1" spans="1:7" ht="21.95" customHeight="1" x14ac:dyDescent="0.2">
      <c r="A1" s="15" t="s">
        <v>24</v>
      </c>
      <c r="B1" s="16"/>
      <c r="C1" s="16"/>
      <c r="D1" s="16"/>
      <c r="E1" s="16"/>
      <c r="F1" s="16"/>
      <c r="G1" s="16"/>
    </row>
    <row r="2" spans="1:7" x14ac:dyDescent="0.2">
      <c r="A2" s="20" t="s">
        <v>27</v>
      </c>
      <c r="B2" s="16"/>
      <c r="C2" s="16"/>
      <c r="D2" s="16"/>
      <c r="E2" s="16"/>
      <c r="F2" s="16"/>
      <c r="G2" s="16"/>
    </row>
    <row r="4" spans="1:7" ht="15.95" customHeight="1" x14ac:dyDescent="0.2">
      <c r="A4" s="4" t="s">
        <v>0</v>
      </c>
      <c r="B4" s="4" t="s">
        <v>1</v>
      </c>
      <c r="C4" s="4" t="s">
        <v>2</v>
      </c>
      <c r="D4" s="4" t="s">
        <v>3</v>
      </c>
      <c r="E4" s="4" t="s">
        <v>4</v>
      </c>
      <c r="F4" s="4" t="s">
        <v>5</v>
      </c>
      <c r="G4" s="4" t="s">
        <v>6</v>
      </c>
    </row>
    <row r="5" spans="1:7" ht="15" customHeight="1" x14ac:dyDescent="0.2">
      <c r="A5" s="17" t="s">
        <v>7</v>
      </c>
      <c r="B5" s="16"/>
      <c r="C5" s="16"/>
      <c r="D5" s="16"/>
      <c r="E5" s="16"/>
      <c r="F5" s="16"/>
      <c r="G5" s="16"/>
    </row>
    <row r="6" spans="1:7" ht="42.75" x14ac:dyDescent="0.2">
      <c r="A6" s="5"/>
      <c r="B6" s="6" t="s">
        <v>8</v>
      </c>
      <c r="C6" s="5">
        <v>1</v>
      </c>
      <c r="D6" s="5" t="s">
        <v>9</v>
      </c>
      <c r="E6" s="7">
        <v>18.989999999999998</v>
      </c>
      <c r="F6" s="7">
        <f>C6*E6</f>
        <v>18.989999999999998</v>
      </c>
      <c r="G6" s="8" t="s">
        <v>10</v>
      </c>
    </row>
    <row r="7" spans="1:7" ht="42.75" x14ac:dyDescent="0.2">
      <c r="A7" s="9"/>
      <c r="B7" s="10" t="s">
        <v>11</v>
      </c>
      <c r="C7" s="9">
        <v>1</v>
      </c>
      <c r="D7" s="9" t="s">
        <v>12</v>
      </c>
      <c r="E7" s="11">
        <v>20.99</v>
      </c>
      <c r="F7" s="11">
        <f>C7*E7</f>
        <v>20.99</v>
      </c>
      <c r="G7" s="12" t="s">
        <v>10</v>
      </c>
    </row>
    <row r="8" spans="1:7" ht="57" x14ac:dyDescent="0.2">
      <c r="A8" s="5"/>
      <c r="B8" s="6" t="s">
        <v>28</v>
      </c>
      <c r="C8" s="5">
        <v>1</v>
      </c>
      <c r="D8" s="5" t="s">
        <v>9</v>
      </c>
      <c r="E8" s="7">
        <v>12.99</v>
      </c>
      <c r="F8" s="7">
        <f>C8*E8</f>
        <v>12.99</v>
      </c>
      <c r="G8" s="8" t="s">
        <v>10</v>
      </c>
    </row>
    <row r="10" spans="1:7" ht="15" customHeight="1" x14ac:dyDescent="0.2">
      <c r="A10" s="17" t="s">
        <v>25</v>
      </c>
      <c r="B10" s="16"/>
      <c r="C10" s="16"/>
      <c r="D10" s="16"/>
      <c r="E10" s="16"/>
      <c r="F10" s="16"/>
      <c r="G10" s="16"/>
    </row>
    <row r="11" spans="1:7" ht="28.5" x14ac:dyDescent="0.2">
      <c r="A11" s="5"/>
      <c r="B11" s="6" t="s">
        <v>13</v>
      </c>
      <c r="C11" s="5">
        <v>1</v>
      </c>
      <c r="D11" s="5" t="s">
        <v>12</v>
      </c>
      <c r="E11" s="7">
        <v>49.99</v>
      </c>
      <c r="F11" s="7">
        <f>C11*E11</f>
        <v>49.99</v>
      </c>
      <c r="G11" s="8" t="s">
        <v>10</v>
      </c>
    </row>
    <row r="12" spans="1:7" ht="42.75" x14ac:dyDescent="0.2">
      <c r="A12" s="9"/>
      <c r="B12" s="10" t="s">
        <v>14</v>
      </c>
      <c r="C12" s="9">
        <v>1</v>
      </c>
      <c r="D12" s="9" t="s">
        <v>12</v>
      </c>
      <c r="E12" s="11">
        <v>39.99</v>
      </c>
      <c r="F12" s="11">
        <f>C12*E12</f>
        <v>39.99</v>
      </c>
      <c r="G12" s="12" t="s">
        <v>10</v>
      </c>
    </row>
    <row r="13" spans="1:7" ht="28.5" x14ac:dyDescent="0.2">
      <c r="A13" s="5"/>
      <c r="B13" s="6" t="s">
        <v>15</v>
      </c>
      <c r="C13" s="5">
        <v>1</v>
      </c>
      <c r="D13" s="5" t="s">
        <v>9</v>
      </c>
      <c r="E13" s="7">
        <v>9.99</v>
      </c>
      <c r="F13" s="7">
        <f>C13*E13</f>
        <v>9.99</v>
      </c>
      <c r="G13" s="8" t="s">
        <v>10</v>
      </c>
    </row>
    <row r="15" spans="1:7" ht="15" customHeight="1" x14ac:dyDescent="0.2">
      <c r="A15" s="17" t="s">
        <v>16</v>
      </c>
      <c r="B15" s="16"/>
      <c r="C15" s="16"/>
      <c r="D15" s="16"/>
      <c r="E15" s="16"/>
      <c r="F15" s="16"/>
      <c r="G15" s="16"/>
    </row>
    <row r="16" spans="1:7" ht="28.5" x14ac:dyDescent="0.2">
      <c r="A16" s="5"/>
      <c r="B16" s="6" t="s">
        <v>17</v>
      </c>
      <c r="C16" s="5">
        <v>1</v>
      </c>
      <c r="D16" s="5" t="s">
        <v>12</v>
      </c>
      <c r="E16" s="7">
        <v>20.99</v>
      </c>
      <c r="F16" s="7">
        <f>C16*E16</f>
        <v>20.99</v>
      </c>
      <c r="G16" s="8" t="s">
        <v>10</v>
      </c>
    </row>
    <row r="17" spans="1:7" ht="42.75" x14ac:dyDescent="0.2">
      <c r="A17" s="9"/>
      <c r="B17" s="10" t="s">
        <v>18</v>
      </c>
      <c r="C17" s="9">
        <v>1</v>
      </c>
      <c r="D17" s="9" t="s">
        <v>9</v>
      </c>
      <c r="E17" s="11">
        <v>8.99</v>
      </c>
      <c r="F17" s="11">
        <f>C17*E17</f>
        <v>8.99</v>
      </c>
      <c r="G17" s="2" t="s">
        <v>10</v>
      </c>
    </row>
    <row r="18" spans="1:7" ht="42.75" x14ac:dyDescent="0.2">
      <c r="A18" s="5"/>
      <c r="B18" s="6" t="s">
        <v>19</v>
      </c>
      <c r="C18" s="5">
        <v>1</v>
      </c>
      <c r="D18" s="5" t="s">
        <v>9</v>
      </c>
      <c r="E18" s="7">
        <v>9.89</v>
      </c>
      <c r="F18" s="7">
        <f>C18*E18</f>
        <v>9.89</v>
      </c>
      <c r="G18" s="3" t="s">
        <v>10</v>
      </c>
    </row>
    <row r="19" spans="1:7" ht="57" x14ac:dyDescent="0.2">
      <c r="A19" s="9"/>
      <c r="B19" s="10" t="s">
        <v>29</v>
      </c>
      <c r="C19" s="9">
        <v>1</v>
      </c>
      <c r="D19" s="9" t="s">
        <v>9</v>
      </c>
      <c r="E19" s="11">
        <v>6.98</v>
      </c>
      <c r="F19" s="11">
        <f>C19*E19</f>
        <v>6.98</v>
      </c>
      <c r="G19" s="2" t="s">
        <v>10</v>
      </c>
    </row>
    <row r="21" spans="1:7" ht="15" customHeight="1" x14ac:dyDescent="0.2">
      <c r="A21" s="17" t="s">
        <v>20</v>
      </c>
      <c r="B21" s="16"/>
      <c r="C21" s="16"/>
      <c r="D21" s="16"/>
      <c r="E21" s="16"/>
      <c r="F21" s="16"/>
      <c r="G21" s="16"/>
    </row>
    <row r="22" spans="1:7" ht="57" x14ac:dyDescent="0.2">
      <c r="A22" s="5"/>
      <c r="B22" s="6" t="s">
        <v>26</v>
      </c>
      <c r="C22" s="5">
        <v>1</v>
      </c>
      <c r="D22" s="5" t="s">
        <v>9</v>
      </c>
      <c r="E22" s="7">
        <v>9.59</v>
      </c>
      <c r="F22" s="7">
        <f>C22*E22</f>
        <v>9.59</v>
      </c>
      <c r="G22" s="3" t="s">
        <v>10</v>
      </c>
    </row>
    <row r="23" spans="1:7" ht="28.5" x14ac:dyDescent="0.2">
      <c r="A23" s="9"/>
      <c r="B23" s="10" t="s">
        <v>21</v>
      </c>
      <c r="C23" s="9">
        <v>1</v>
      </c>
      <c r="D23" s="9" t="s">
        <v>9</v>
      </c>
      <c r="E23" s="11">
        <v>9.99</v>
      </c>
      <c r="F23" s="11">
        <f>C23*E23</f>
        <v>9.99</v>
      </c>
      <c r="G23" s="2" t="s">
        <v>10</v>
      </c>
    </row>
    <row r="24" spans="1:7" ht="28.5" x14ac:dyDescent="0.2">
      <c r="A24" s="5"/>
      <c r="B24" s="6" t="s">
        <v>22</v>
      </c>
      <c r="C24" s="5">
        <v>1</v>
      </c>
      <c r="D24" s="5" t="s">
        <v>9</v>
      </c>
      <c r="E24" s="7">
        <v>4.95</v>
      </c>
      <c r="F24" s="7">
        <f>C24*E24</f>
        <v>4.95</v>
      </c>
      <c r="G24" s="3" t="s">
        <v>10</v>
      </c>
    </row>
    <row r="25" spans="1:7" x14ac:dyDescent="0.2">
      <c r="A25" s="21"/>
      <c r="B25" s="22"/>
      <c r="C25" s="21"/>
      <c r="D25" s="21"/>
      <c r="E25" s="23"/>
      <c r="F25" s="23"/>
      <c r="G25" s="24"/>
    </row>
    <row r="27" spans="1:7" ht="18" customHeight="1" x14ac:dyDescent="0.2">
      <c r="A27" s="18" t="s">
        <v>23</v>
      </c>
      <c r="B27" s="19"/>
      <c r="C27" s="19"/>
      <c r="D27" s="19"/>
      <c r="E27" s="19"/>
      <c r="F27" s="13">
        <f>SUM(F6:F8,F11:F13,F16:F19,F22:F24)</f>
        <v>224.32000000000005</v>
      </c>
      <c r="G27" s="14"/>
    </row>
  </sheetData>
  <mergeCells count="7">
    <mergeCell ref="A1:G1"/>
    <mergeCell ref="A10:G10"/>
    <mergeCell ref="A27:E27"/>
    <mergeCell ref="A21:G21"/>
    <mergeCell ref="A2:G2"/>
    <mergeCell ref="A15:G15"/>
    <mergeCell ref="A5:G5"/>
  </mergeCells>
  <hyperlinks>
    <hyperlink ref="G6" r:id="rId1" xr:uid="{00000000-0004-0000-0000-000000000000}"/>
    <hyperlink ref="G7" r:id="rId2" xr:uid="{00000000-0004-0000-0000-000001000000}"/>
    <hyperlink ref="G11" r:id="rId3" xr:uid="{00000000-0004-0000-0000-000002000000}"/>
    <hyperlink ref="G12" r:id="rId4" xr:uid="{00000000-0004-0000-0000-000003000000}"/>
    <hyperlink ref="G13" r:id="rId5" xr:uid="{00000000-0004-0000-0000-000005000000}"/>
    <hyperlink ref="G16" r:id="rId6" xr:uid="{00000000-0004-0000-0000-000006000000}"/>
    <hyperlink ref="G17" r:id="rId7" xr:uid="{00000000-0004-0000-0000-000007000000}"/>
    <hyperlink ref="G18" r:id="rId8" xr:uid="{00000000-0004-0000-0000-000008000000}"/>
    <hyperlink ref="G22" r:id="rId9" xr:uid="{00000000-0004-0000-0000-000009000000}"/>
    <hyperlink ref="G23" r:id="rId10" xr:uid="{00000000-0004-0000-0000-00000A000000}"/>
    <hyperlink ref="G24" r:id="rId11" xr:uid="{00000000-0004-0000-0000-00000B000000}"/>
    <hyperlink ref="G8" r:id="rId12" xr:uid="{104D381D-73FF-49CF-8ED3-67E6AB96D881}"/>
    <hyperlink ref="G19" r:id="rId13" xr:uid="{BAE5C983-2E25-4D02-83A8-77B68C999DA0}"/>
  </hyperlinks>
  <pageMargins left="0.75" right="0.75" top="1" bottom="1" header="0.5" footer="0.5"/>
  <pageSetup orientation="portrait"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CAST 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Gogoj, Anatol</cp:lastModifiedBy>
  <dcterms:created xsi:type="dcterms:W3CDTF">2026-02-26T05:51:05Z</dcterms:created>
  <dcterms:modified xsi:type="dcterms:W3CDTF">2026-03-05T15:18:57Z</dcterms:modified>
</cp:coreProperties>
</file>